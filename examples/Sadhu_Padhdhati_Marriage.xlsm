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nesan\jHORA8\"/>
    </mc:Choice>
  </mc:AlternateContent>
  <bookViews>
    <workbookView xWindow="0" yWindow="0" windowWidth="25200" windowHeight="12135" firstSheet="1" activeTab="1"/>
  </bookViews>
  <sheets>
    <sheet name="Ayanamsa" sheetId="4" state="hidden" r:id="rId1"/>
    <sheet name="Sheet1" sheetId="1" r:id="rId2"/>
    <sheet name="DegGenerator" sheetId="7" r:id="rId3"/>
    <sheet name="Tables" sheetId="5" r:id="rId4"/>
    <sheet name="Square" sheetId="6" state="hidden" r:id="rId5"/>
  </sheets>
  <functionGroups builtInGroupCount="18"/>
  <externalReferences>
    <externalReference r:id="rId6"/>
  </externalReferences>
  <definedNames>
    <definedName name="_xlnm._FilterDatabase" localSheetId="1" hidden="1">Sheet1!$A$21:$G$38</definedName>
    <definedName name="Alphabets_Table">Tables!$C$4:$N$15</definedName>
    <definedName name="Aq">Sheet1!$M$17</definedName>
    <definedName name="Ar">Sheet1!$N$16</definedName>
    <definedName name="Asc">Sheet1!$G$12</definedName>
    <definedName name="Base">Sheet1!$D$74</definedName>
    <definedName name="BaseNumTable">Tables!$M$22:$P$26</definedName>
    <definedName name="BaseX">Sheet1!$L$74</definedName>
    <definedName name="birthdate">Sheet1!$C$3</definedName>
    <definedName name="Cn">Sheet1!$P$17</definedName>
    <definedName name="Cp">Sheet1!$M$18</definedName>
    <definedName name="Crossed">Sheet1!$I$2:$I$7</definedName>
    <definedName name="D1_RasiNum">Sheet1!$Q$3:$R$12</definedName>
    <definedName name="D10_5_8">Sheet1!$AE$182:$AQ$191</definedName>
    <definedName name="D10_6_9">Sheet1!$AE$168:$AQ$177</definedName>
    <definedName name="D10_9_12">Sheet1!$AE$154:$AQ$163</definedName>
    <definedName name="D10_Pv">Sheet1!$AE$197:$AQ$206</definedName>
    <definedName name="D10_Trd">Sheet1!$AE$140:$AQ$149</definedName>
    <definedName name="D9_RasiNum">Sheet1!$S$3:$T$12</definedName>
    <definedName name="D9_Trd">Sheet1!$AC$6:$AO$14</definedName>
    <definedName name="DChart">Sheet1!$T$16:$W$19</definedName>
    <definedName name="Deg">Sheet1!$C$1:$C$7</definedName>
    <definedName name="Deha">Sheet1!#REF!</definedName>
    <definedName name="Delay_in_D1">Sheet1!$D$79</definedName>
    <definedName name="Delay_in_DX">Sheet1!$L$79</definedName>
    <definedName name="DevarajAyan">Sheet1!$C$9</definedName>
    <definedName name="Div">Sheet1!#REF!</definedName>
    <definedName name="Dy">Ayanamsa!$C$2</definedName>
    <definedName name="Dyfr">Ayanamsa!$B$2</definedName>
    <definedName name="EF">Sheet1!$D$76</definedName>
    <definedName name="EFX">Sheet1!$L$76</definedName>
    <definedName name="Ge">Sheet1!$P$16</definedName>
    <definedName name="Gender">Sheet1!$D$2</definedName>
    <definedName name="GMT">Sheet1!$C$8</definedName>
    <definedName name="Graham">Sheet1!$E$22:$E$29</definedName>
    <definedName name="Input_BH">Sheet1!$H$46:$H$71</definedName>
    <definedName name="Input_BH9">Sheet1!$Q$46:$Q$71</definedName>
    <definedName name="Input_EF">Sheet1!$C$42:$C$71</definedName>
    <definedName name="Input_EF9">Sheet1!$N$42:$N$71</definedName>
    <definedName name="Input_RF">Sheet1!$G$42:$G$71</definedName>
    <definedName name="Input_RF9">Sheet1!$P$42:$P$71</definedName>
    <definedName name="Input_SB">Sheet1!$I$42:$I$71</definedName>
    <definedName name="Input_SB9">Sheet1!$R$42:$R$71</definedName>
    <definedName name="Jeeva">Sheet1!#REF!</definedName>
    <definedName name="Lati">Sheet1!$C$6</definedName>
    <definedName name="Latitude">Sheet1!$C$6</definedName>
    <definedName name="Le">Sheet1!$P$18</definedName>
    <definedName name="Li">Sheet1!$O$19</definedName>
    <definedName name="Longi">Sheet1!$C$7</definedName>
    <definedName name="Longitude">Sheet1!$C$7</definedName>
    <definedName name="m">Sheet1!$D$80</definedName>
    <definedName name="Me9BenMal">Sheet1!$T$14</definedName>
    <definedName name="MeBenMal">Sheet1!$G$14</definedName>
    <definedName name="Mestatus">Sheet1!$G$14</definedName>
    <definedName name="MF">Sheet1!$D$77</definedName>
    <definedName name="Min">Sheet1!$D$1:$D$7</definedName>
    <definedName name="Mn">Ayanamsa!$D$2</definedName>
    <definedName name="moStatus">Sheet1!$G$13</definedName>
    <definedName name="MoStatus9">Sheet1!$T$13</definedName>
    <definedName name="Mrityu">Sheet1!#REF!</definedName>
    <definedName name="nava">Sheet1!$G$2:$G$7</definedName>
    <definedName name="nava_int">Sheet1!$H$2:$H$7</definedName>
    <definedName name="Pi">Sheet1!$M$16</definedName>
    <definedName name="Precession_Rate">Ayanamsa!$B$5:$B$11</definedName>
    <definedName name="RF">Sheet1!$D$78</definedName>
    <definedName name="RFX">Sheet1!$L$78</definedName>
    <definedName name="row">Sheet1!$C$1</definedName>
    <definedName name="Rows_of_Sa_aspects">Sheet1!$G$22:$G$29</definedName>
    <definedName name="Sc">Sheet1!$N$19</definedName>
    <definedName name="Sec">Sheet1!$E$1:$E$7</definedName>
    <definedName name="Seconds">Sheet1!$F$2:$F$7</definedName>
    <definedName name="SelCol">Sheet1!$F$39</definedName>
    <definedName name="SelRow">Sheet1!$F$38</definedName>
    <definedName name="Sg">Sheet1!$M$19</definedName>
    <definedName name="SignLords">Sheet1!$AR$3:$AR$14</definedName>
    <definedName name="Signs">Sheet1!$AQ$3:$AQ$14</definedName>
    <definedName name="Start_Year">Ayanamsa!$C$5:$C$11</definedName>
    <definedName name="Step">Sheet1!$D$75</definedName>
    <definedName name="SunriseTime">Sheet1!#REF!</definedName>
    <definedName name="SunsetTime">Sheet1!#REF!</definedName>
    <definedName name="Ta">Sheet1!$O$16</definedName>
    <definedName name="TOB">Sheet1!$C$4</definedName>
    <definedName name="TZ">Sheet1!$C$5</definedName>
    <definedName name="Vi">Sheet1!$P$19</definedName>
    <definedName name="Weekdays">Sheet1!$A$104:$A$110</definedName>
    <definedName name="Yr">Ayanamsa!$E$2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2" i="1" l="1"/>
  <c r="C72" i="1"/>
  <c r="P73" i="1" l="1"/>
  <c r="G5" i="7" l="1"/>
  <c r="H5" i="7" s="1"/>
  <c r="I5" i="7" s="1"/>
  <c r="J5" i="7" s="1"/>
  <c r="K5" i="7" s="1"/>
  <c r="G6" i="7"/>
  <c r="H6" i="7" s="1"/>
  <c r="I6" i="7" s="1"/>
  <c r="J6" i="7" s="1"/>
  <c r="K6" i="7" s="1"/>
  <c r="G7" i="7"/>
  <c r="H7" i="7" s="1"/>
  <c r="I7" i="7" s="1"/>
  <c r="J7" i="7" s="1"/>
  <c r="K7" i="7" s="1"/>
  <c r="G8" i="7"/>
  <c r="H8" i="7" s="1"/>
  <c r="I8" i="7" s="1"/>
  <c r="J8" i="7" s="1"/>
  <c r="K8" i="7" s="1"/>
  <c r="G9" i="7"/>
  <c r="H9" i="7" s="1"/>
  <c r="I9" i="7" s="1"/>
  <c r="J9" i="7" s="1"/>
  <c r="K9" i="7" s="1"/>
  <c r="G10" i="7"/>
  <c r="H10" i="7" s="1"/>
  <c r="I10" i="7" s="1"/>
  <c r="J10" i="7" s="1"/>
  <c r="K10" i="7" s="1"/>
  <c r="G11" i="7"/>
  <c r="H11" i="7" s="1"/>
  <c r="I11" i="7" s="1"/>
  <c r="J11" i="7" s="1"/>
  <c r="K11" i="7" s="1"/>
  <c r="G12" i="7"/>
  <c r="H12" i="7" s="1"/>
  <c r="I12" i="7" s="1"/>
  <c r="J12" i="7" s="1"/>
  <c r="K12" i="7" s="1"/>
  <c r="G13" i="7"/>
  <c r="H13" i="7" s="1"/>
  <c r="I13" i="7" s="1"/>
  <c r="J13" i="7" s="1"/>
  <c r="K13" i="7" s="1"/>
  <c r="G4" i="7"/>
  <c r="H4" i="7" s="1"/>
  <c r="I4" i="7" s="1"/>
  <c r="J4" i="7" s="1"/>
  <c r="K4" i="7" s="1"/>
  <c r="D2" i="1" l="1"/>
  <c r="C2" i="1"/>
  <c r="I72" i="1" l="1"/>
  <c r="R72" i="1"/>
  <c r="Q72" i="1"/>
  <c r="M24" i="5" l="1"/>
  <c r="M25" i="5"/>
  <c r="M26" i="5"/>
  <c r="M23" i="5"/>
  <c r="G73" i="1" l="1"/>
  <c r="P72" i="1"/>
  <c r="G72" i="1"/>
  <c r="S12" i="1" l="1"/>
  <c r="AG34" i="1"/>
  <c r="AG33" i="1"/>
  <c r="J72" i="1"/>
  <c r="H72" i="1"/>
  <c r="L78" i="1" l="1"/>
  <c r="H23" i="1"/>
  <c r="H24" i="1"/>
  <c r="H25" i="1"/>
  <c r="H26" i="1"/>
  <c r="H27" i="1"/>
  <c r="H28" i="1"/>
  <c r="H29" i="1"/>
  <c r="H22" i="1"/>
  <c r="O12" i="1"/>
  <c r="U12" i="1" s="1"/>
  <c r="Q4" i="1" l="1"/>
  <c r="Q5" i="1"/>
  <c r="Q6" i="1"/>
  <c r="Q7" i="1"/>
  <c r="Q8" i="1"/>
  <c r="Q9" i="1"/>
  <c r="Q10" i="1"/>
  <c r="Q11" i="1"/>
  <c r="Q3" i="1"/>
  <c r="O9" i="1" l="1"/>
  <c r="U9" i="1" s="1"/>
  <c r="S9" i="1"/>
  <c r="O10" i="1"/>
  <c r="U10" i="1" s="1"/>
  <c r="S10" i="1"/>
  <c r="O11" i="1"/>
  <c r="U11" i="1" s="1"/>
  <c r="S11" i="1"/>
  <c r="O7" i="1"/>
  <c r="U7" i="1" s="1"/>
  <c r="S7" i="1"/>
  <c r="O6" i="1"/>
  <c r="U6" i="1" s="1"/>
  <c r="S6" i="1"/>
  <c r="O3" i="1"/>
  <c r="U3" i="1" s="1"/>
  <c r="S3" i="1"/>
  <c r="O8" i="1"/>
  <c r="U8" i="1" s="1"/>
  <c r="S8" i="1"/>
  <c r="O5" i="1"/>
  <c r="U5" i="1" s="1"/>
  <c r="S5" i="1"/>
  <c r="O4" i="1"/>
  <c r="U4" i="1" s="1"/>
  <c r="S4" i="1"/>
  <c r="I34" i="1"/>
  <c r="I33" i="1"/>
  <c r="B22" i="5" l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D3" i="5"/>
  <c r="E3" i="5" s="1"/>
  <c r="F3" i="5" s="1"/>
  <c r="G3" i="5" s="1"/>
  <c r="H3" i="5" s="1"/>
  <c r="I3" i="5" s="1"/>
  <c r="J3" i="5" s="1"/>
  <c r="K3" i="5" s="1"/>
  <c r="L3" i="5" s="1"/>
  <c r="M3" i="5" s="1"/>
  <c r="N3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23" i="1" l="1"/>
  <c r="X26" i="1" l="1"/>
  <c r="X25" i="1" s="1"/>
  <c r="B74" i="1" l="1"/>
  <c r="D75" i="1"/>
  <c r="L75" i="1" s="1"/>
  <c r="D77" i="1"/>
  <c r="L77" i="1" s="1"/>
  <c r="C7" i="1"/>
  <c r="C6" i="1"/>
  <c r="C5" i="1"/>
  <c r="C4" i="1"/>
  <c r="C3" i="1"/>
  <c r="B12" i="1"/>
  <c r="D7" i="1"/>
  <c r="D74" i="1"/>
  <c r="D6" i="1"/>
  <c r="B13" i="1"/>
  <c r="L74" i="1" l="1"/>
  <c r="A11" i="1"/>
  <c r="C2" i="4" s="1"/>
  <c r="B11" i="1"/>
  <c r="C11" i="1"/>
  <c r="D2" i="4" s="1"/>
  <c r="D4" i="1"/>
  <c r="B2" i="4"/>
  <c r="C8" i="1" l="1"/>
  <c r="E2" i="4"/>
  <c r="D6" i="4" l="1"/>
  <c r="D9" i="4"/>
  <c r="D11" i="4"/>
  <c r="D7" i="4"/>
  <c r="D8" i="4"/>
  <c r="D5" i="4"/>
  <c r="C10" i="1"/>
  <c r="E11" i="4"/>
  <c r="E6" i="4"/>
  <c r="E5" i="4"/>
  <c r="E8" i="4"/>
  <c r="E7" i="4"/>
  <c r="E9" i="4"/>
  <c r="C9" i="1" l="1"/>
  <c r="K10" i="1"/>
  <c r="K12" i="1"/>
  <c r="E12" i="1"/>
  <c r="I6" i="1"/>
  <c r="P12" i="1"/>
  <c r="I5" i="1"/>
  <c r="J12" i="1"/>
  <c r="I12" i="1"/>
  <c r="C84" i="1"/>
  <c r="D9" i="1"/>
  <c r="W12" i="1" l="1"/>
  <c r="W6" i="1"/>
  <c r="W5" i="1"/>
  <c r="W10" i="1"/>
  <c r="W4" i="1"/>
  <c r="W7" i="1"/>
  <c r="W8" i="1"/>
  <c r="W9" i="1"/>
  <c r="W3" i="1"/>
  <c r="G13" i="1"/>
  <c r="R12" i="1"/>
  <c r="R5" i="1"/>
  <c r="R6" i="1"/>
  <c r="J51" i="1"/>
  <c r="J56" i="1"/>
  <c r="J55" i="1"/>
  <c r="J52" i="1"/>
  <c r="J48" i="1"/>
  <c r="J49" i="1"/>
  <c r="J47" i="1"/>
  <c r="J46" i="1"/>
  <c r="I24" i="1"/>
  <c r="I25" i="1"/>
  <c r="C87" i="1"/>
  <c r="N29" i="1"/>
  <c r="G84" i="1"/>
  <c r="F84" i="1"/>
  <c r="H9" i="1"/>
  <c r="L9" i="1"/>
  <c r="L7" i="1"/>
  <c r="H7" i="1"/>
  <c r="W11" i="1"/>
  <c r="H10" i="1"/>
  <c r="L10" i="1"/>
  <c r="H6" i="1"/>
  <c r="L6" i="1"/>
  <c r="N6" i="1" s="1"/>
  <c r="L4" i="1"/>
  <c r="H4" i="1"/>
  <c r="H5" i="1"/>
  <c r="L5" i="1"/>
  <c r="N5" i="1" s="1"/>
  <c r="L8" i="1"/>
  <c r="H8" i="1"/>
  <c r="L3" i="1"/>
  <c r="H3" i="1"/>
  <c r="H12" i="1"/>
  <c r="L12" i="1"/>
  <c r="N12" i="1" s="1"/>
  <c r="I10" i="1"/>
  <c r="J6" i="1"/>
  <c r="P10" i="1"/>
  <c r="P6" i="1"/>
  <c r="J10" i="1"/>
  <c r="J11" i="1"/>
  <c r="J3" i="1"/>
  <c r="J7" i="1"/>
  <c r="J9" i="1"/>
  <c r="P8" i="1"/>
  <c r="M6" i="1"/>
  <c r="P11" i="1"/>
  <c r="I8" i="1"/>
  <c r="K8" i="1"/>
  <c r="K3" i="1"/>
  <c r="M7" i="1"/>
  <c r="M8" i="1"/>
  <c r="I11" i="1"/>
  <c r="M3" i="1"/>
  <c r="J4" i="1"/>
  <c r="J5" i="1"/>
  <c r="M12" i="1"/>
  <c r="M10" i="1"/>
  <c r="K5" i="1"/>
  <c r="E13" i="1"/>
  <c r="P7" i="1"/>
  <c r="K7" i="1"/>
  <c r="P5" i="1"/>
  <c r="I9" i="1"/>
  <c r="I4" i="1"/>
  <c r="I3" i="1"/>
  <c r="I7" i="1"/>
  <c r="K9" i="1"/>
  <c r="M4" i="1"/>
  <c r="K11" i="1"/>
  <c r="P3" i="1"/>
  <c r="M9" i="1"/>
  <c r="J8" i="1"/>
  <c r="M5" i="1"/>
  <c r="P4" i="1"/>
  <c r="K6" i="1"/>
  <c r="K4" i="1"/>
  <c r="P9" i="1"/>
  <c r="M18" i="1"/>
  <c r="M16" i="1"/>
  <c r="N16" i="1"/>
  <c r="P16" i="1"/>
  <c r="O19" i="1"/>
  <c r="D35" i="1"/>
  <c r="D34" i="1"/>
  <c r="O16" i="1"/>
  <c r="N19" i="1"/>
  <c r="M17" i="1"/>
  <c r="P19" i="1"/>
  <c r="P17" i="1"/>
  <c r="M19" i="1"/>
  <c r="P18" i="1"/>
  <c r="I27" i="1" l="1"/>
  <c r="R8" i="1"/>
  <c r="I84" i="1"/>
  <c r="N8" i="1"/>
  <c r="T8" i="1" s="1"/>
  <c r="I85" i="1" s="1"/>
  <c r="I28" i="1"/>
  <c r="R9" i="1"/>
  <c r="J84" i="1"/>
  <c r="N9" i="1"/>
  <c r="V9" i="1" s="1"/>
  <c r="D84" i="1"/>
  <c r="I22" i="1"/>
  <c r="R3" i="1"/>
  <c r="K84" i="1"/>
  <c r="I29" i="1"/>
  <c r="R10" i="1"/>
  <c r="N10" i="1"/>
  <c r="V10" i="1" s="1"/>
  <c r="N3" i="1"/>
  <c r="V3" i="1" s="1"/>
  <c r="R11" i="1"/>
  <c r="R4" i="1"/>
  <c r="R7" i="1"/>
  <c r="I26" i="1"/>
  <c r="H84" i="1"/>
  <c r="N7" i="1"/>
  <c r="T7" i="1" s="1"/>
  <c r="H85" i="1" s="1"/>
  <c r="J64" i="1"/>
  <c r="J67" i="1"/>
  <c r="J69" i="1"/>
  <c r="J65" i="1"/>
  <c r="J62" i="1"/>
  <c r="J61" i="1"/>
  <c r="J60" i="1"/>
  <c r="J59" i="1"/>
  <c r="I23" i="1"/>
  <c r="C88" i="1"/>
  <c r="V5" i="1"/>
  <c r="T5" i="1"/>
  <c r="F85" i="1" s="1"/>
  <c r="V6" i="1"/>
  <c r="T6" i="1"/>
  <c r="V12" i="1"/>
  <c r="S55" i="1" s="1"/>
  <c r="T12" i="1"/>
  <c r="L25" i="1"/>
  <c r="E84" i="1"/>
  <c r="N4" i="1"/>
  <c r="L84" i="1"/>
  <c r="D106" i="1"/>
  <c r="C106" i="1" s="1"/>
  <c r="D103" i="1"/>
  <c r="C103" i="1" s="1"/>
  <c r="D101" i="1"/>
  <c r="C101" i="1" s="1"/>
  <c r="D108" i="1"/>
  <c r="C108" i="1" s="1"/>
  <c r="D104" i="1"/>
  <c r="C104" i="1" s="1"/>
  <c r="D105" i="1"/>
  <c r="C105" i="1" s="1"/>
  <c r="D102" i="1"/>
  <c r="C102" i="1" s="1"/>
  <c r="D111" i="1"/>
  <c r="C111" i="1" s="1"/>
  <c r="D110" i="1"/>
  <c r="C110" i="1" s="1"/>
  <c r="D112" i="1"/>
  <c r="C112" i="1" s="1"/>
  <c r="D107" i="1"/>
  <c r="C107" i="1" s="1"/>
  <c r="D109" i="1"/>
  <c r="C109" i="1" s="1"/>
  <c r="C35" i="1"/>
  <c r="I35" i="1" s="1"/>
  <c r="E35" i="1"/>
  <c r="H11" i="1"/>
  <c r="L11" i="1"/>
  <c r="N11" i="1" s="1"/>
  <c r="G14" i="1"/>
  <c r="W16" i="1"/>
  <c r="F28" i="1"/>
  <c r="V19" i="1"/>
  <c r="F26" i="1"/>
  <c r="N24" i="1"/>
  <c r="F29" i="1"/>
  <c r="D36" i="1"/>
  <c r="U19" i="1"/>
  <c r="T19" i="1"/>
  <c r="W18" i="1"/>
  <c r="F25" i="1"/>
  <c r="D33" i="1"/>
  <c r="Q33" i="1"/>
  <c r="F23" i="1"/>
  <c r="W17" i="1"/>
  <c r="F27" i="1"/>
  <c r="U16" i="1"/>
  <c r="N33" i="1"/>
  <c r="K24" i="1"/>
  <c r="L37" i="1"/>
  <c r="P36" i="1"/>
  <c r="Q24" i="1"/>
  <c r="T18" i="1"/>
  <c r="L29" i="1"/>
  <c r="F24" i="1"/>
  <c r="V16" i="1"/>
  <c r="T16" i="1"/>
  <c r="L22" i="1"/>
  <c r="T17" i="1"/>
  <c r="W19" i="1"/>
  <c r="M11" i="1"/>
  <c r="O22" i="1"/>
  <c r="K32" i="1"/>
  <c r="P28" i="1"/>
  <c r="F22" i="1"/>
  <c r="V8" i="1" l="1"/>
  <c r="E33" i="1"/>
  <c r="F33" i="1" s="1"/>
  <c r="T9" i="1"/>
  <c r="J85" i="1" s="1"/>
  <c r="E36" i="1"/>
  <c r="S56" i="1"/>
  <c r="T10" i="1"/>
  <c r="K85" i="1" s="1"/>
  <c r="T3" i="1"/>
  <c r="G85" i="1"/>
  <c r="S51" i="1"/>
  <c r="S52" i="1"/>
  <c r="S48" i="1"/>
  <c r="S49" i="1"/>
  <c r="S46" i="1"/>
  <c r="S47" i="1"/>
  <c r="V7" i="1"/>
  <c r="L76" i="1"/>
  <c r="L79" i="1" s="1"/>
  <c r="V29" i="1"/>
  <c r="T25" i="1" s="1"/>
  <c r="T26" i="1" s="1"/>
  <c r="U31" i="1" s="1"/>
  <c r="T34" i="1" s="1"/>
  <c r="T35" i="1" s="1"/>
  <c r="V32" i="1" s="1"/>
  <c r="X35" i="1" s="1"/>
  <c r="X34" i="1" s="1"/>
  <c r="W31" i="1" s="1"/>
  <c r="C85" i="1"/>
  <c r="V11" i="1"/>
  <c r="T11" i="1"/>
  <c r="V4" i="1"/>
  <c r="S67" i="1" s="1"/>
  <c r="T4" i="1"/>
  <c r="L26" i="1"/>
  <c r="E34" i="1"/>
  <c r="G23" i="1"/>
  <c r="G29" i="1"/>
  <c r="G25" i="1"/>
  <c r="G27" i="1"/>
  <c r="G22" i="1"/>
  <c r="D76" i="1"/>
  <c r="D79" i="1" s="1"/>
  <c r="G28" i="1"/>
  <c r="G24" i="1"/>
  <c r="G26" i="1"/>
  <c r="AB34" i="1"/>
  <c r="AB36" i="1"/>
  <c r="AB35" i="1"/>
  <c r="AB33" i="1"/>
  <c r="T13" i="1" l="1"/>
  <c r="AC36" i="1" s="1"/>
  <c r="S69" i="1"/>
  <c r="D85" i="1"/>
  <c r="S64" i="1"/>
  <c r="S65" i="1"/>
  <c r="S61" i="1"/>
  <c r="S62" i="1"/>
  <c r="S59" i="1"/>
  <c r="S60" i="1"/>
  <c r="L85" i="1"/>
  <c r="G33" i="1"/>
  <c r="H33" i="1" s="1"/>
  <c r="E85" i="1"/>
  <c r="C86" i="1"/>
  <c r="C93" i="1" s="1"/>
  <c r="C89" i="1"/>
  <c r="C90" i="1" s="1"/>
  <c r="C91" i="1" s="1"/>
  <c r="C92" i="1" s="1"/>
  <c r="C36" i="1"/>
  <c r="I36" i="1" s="1"/>
  <c r="F36" i="1"/>
  <c r="G36" i="1" s="1"/>
  <c r="H36" i="1" s="1"/>
  <c r="F35" i="1"/>
  <c r="G35" i="1" s="1"/>
  <c r="H35" i="1" s="1"/>
  <c r="F34" i="1"/>
  <c r="G34" i="1" s="1"/>
  <c r="H34" i="1" s="1"/>
  <c r="M31" i="1"/>
  <c r="L34" i="1" s="1"/>
  <c r="F101" i="1"/>
  <c r="E101" i="1" s="1"/>
  <c r="F102" i="1"/>
  <c r="E102" i="1" s="1"/>
  <c r="F104" i="1"/>
  <c r="E104" i="1" s="1"/>
  <c r="F107" i="1"/>
  <c r="E107" i="1" s="1"/>
  <c r="F112" i="1"/>
  <c r="E112" i="1" s="1"/>
  <c r="F106" i="1"/>
  <c r="E106" i="1" s="1"/>
  <c r="F111" i="1"/>
  <c r="E111" i="1" s="1"/>
  <c r="F103" i="1"/>
  <c r="E103" i="1" s="1"/>
  <c r="F110" i="1"/>
  <c r="E110" i="1" s="1"/>
  <c r="F109" i="1"/>
  <c r="E109" i="1" s="1"/>
  <c r="F105" i="1"/>
  <c r="E105" i="1" s="1"/>
  <c r="F108" i="1"/>
  <c r="E108" i="1" s="1"/>
  <c r="T14" i="1"/>
  <c r="J44" i="1"/>
  <c r="S32" i="1"/>
  <c r="S24" i="1"/>
  <c r="T22" i="1"/>
  <c r="V24" i="1"/>
  <c r="T36" i="1"/>
  <c r="X28" i="1"/>
  <c r="Y33" i="1"/>
  <c r="Y24" i="1"/>
  <c r="X36" i="1"/>
  <c r="W22" i="1"/>
  <c r="T28" i="1"/>
  <c r="V33" i="1"/>
  <c r="C95" i="1" l="1"/>
  <c r="AD36" i="1"/>
  <c r="AE36" i="1" s="1"/>
  <c r="AF36" i="1" s="1"/>
  <c r="AC34" i="1"/>
  <c r="AC35" i="1"/>
  <c r="AD35" i="1" s="1"/>
  <c r="AA35" i="1"/>
  <c r="AG35" i="1" s="1"/>
  <c r="AC33" i="1"/>
  <c r="AD33" i="1" s="1"/>
  <c r="AA36" i="1"/>
  <c r="AG36" i="1" s="1"/>
  <c r="C94" i="1"/>
  <c r="L35" i="1"/>
  <c r="AE35" i="1" l="1"/>
  <c r="AF35" i="1" s="1"/>
  <c r="AD34" i="1"/>
  <c r="AE34" i="1" s="1"/>
  <c r="AF34" i="1" s="1"/>
  <c r="AE33" i="1"/>
  <c r="AF33" i="1" s="1"/>
  <c r="D78" i="1"/>
  <c r="N31" i="1"/>
  <c r="P35" i="1" s="1"/>
  <c r="P34" i="1" s="1"/>
  <c r="O30" i="1" s="1"/>
  <c r="P26" i="1" s="1"/>
  <c r="S43" i="1"/>
  <c r="H81" i="1" l="1"/>
  <c r="P25" i="1"/>
  <c r="H94" i="1" l="1"/>
  <c r="F94" i="1" s="1"/>
  <c r="C96" i="1" s="1"/>
  <c r="J94" i="1" l="1"/>
  <c r="I94" i="1" s="1"/>
  <c r="G94" i="1"/>
</calcChain>
</file>

<file path=xl/comments1.xml><?xml version="1.0" encoding="utf-8"?>
<comments xmlns="http://schemas.openxmlformats.org/spreadsheetml/2006/main">
  <authors>
    <author>user</author>
  </authors>
  <commentList>
    <comment ref="I42" authorId="0" shapeId="0">
      <text>
        <r>
          <rPr>
            <b/>
            <sz val="9"/>
            <color indexed="81"/>
            <rFont val="Tahoma"/>
            <family val="2"/>
          </rPr>
          <t xml:space="preserve">Do "Pure Benefics" exist ? If so select their names 
</t>
        </r>
      </text>
    </comment>
    <comment ref="R42" authorId="0" shapeId="0">
      <text>
        <r>
          <rPr>
            <b/>
            <sz val="9"/>
            <color indexed="81"/>
            <rFont val="Tahoma"/>
            <family val="2"/>
          </rPr>
          <t>Do Pure Benefic exist ? If so select their names.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Sun cannot cause reduction whatsover</t>
        </r>
      </text>
    </comment>
    <comment ref="I46" authorId="0" shapeId="0">
      <text>
        <r>
          <rPr>
            <sz val="9"/>
            <color indexed="81"/>
            <rFont val="Tahoma"/>
            <family val="2"/>
          </rPr>
          <t>Do Pure-Benefic s aspect HP ? If so choose all that do in succesive rows above</t>
        </r>
      </text>
    </comment>
    <comment ref="R46" authorId="0" shapeId="0">
      <text>
        <r>
          <rPr>
            <sz val="8"/>
            <color indexed="81"/>
            <rFont val="Tahoma"/>
            <family val="2"/>
          </rPr>
          <t>Do Pure-Benefic s aspect HP ? If so choose all that do in succesive rows above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 xml:space="preserve">Do Pure-Benefics aspect HP ? If so choose all that do in succesive rows above
</t>
        </r>
      </text>
    </comment>
    <comment ref="R59" authorId="0" shapeId="0">
      <text>
        <r>
          <rPr>
            <sz val="8"/>
            <color indexed="81"/>
            <rFont val="Tahoma"/>
            <family val="2"/>
          </rPr>
          <t>Do Pure-Benefic s aspect HP ? If so choose all that do in succesive rows above</t>
        </r>
        <r>
          <rPr>
            <sz val="8"/>
            <color indexed="81"/>
            <rFont val="Calibri"/>
            <family val="2"/>
            <scheme val="minor"/>
          </rPr>
          <t xml:space="preserve">
</t>
        </r>
      </text>
    </comment>
    <comment ref="D74" authorId="0" shapeId="0">
      <text>
        <r>
          <rPr>
            <sz val="9"/>
            <color indexed="81"/>
            <rFont val="Tahoma"/>
            <family val="2"/>
          </rPr>
          <t>Based on Year of  birth and Gender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>Based on year of birth</t>
        </r>
      </text>
    </comment>
  </commentList>
</comments>
</file>

<file path=xl/sharedStrings.xml><?xml version="1.0" encoding="utf-8"?>
<sst xmlns="http://schemas.openxmlformats.org/spreadsheetml/2006/main" count="1254" uniqueCount="248">
  <si>
    <t>Su</t>
  </si>
  <si>
    <t>Mo</t>
  </si>
  <si>
    <t>Ma</t>
  </si>
  <si>
    <t>Me</t>
  </si>
  <si>
    <t>Ju</t>
  </si>
  <si>
    <t>Ve</t>
  </si>
  <si>
    <t>Sa</t>
  </si>
  <si>
    <t>Ra</t>
  </si>
  <si>
    <t>Ke</t>
  </si>
  <si>
    <t>D1-deg</t>
  </si>
  <si>
    <t>Name</t>
  </si>
  <si>
    <t>Date of Birth</t>
  </si>
  <si>
    <t>Time of Birth</t>
  </si>
  <si>
    <t>Time Zone</t>
  </si>
  <si>
    <t>Latitude</t>
  </si>
  <si>
    <t>Longitude</t>
  </si>
  <si>
    <t>GMT Date and Time</t>
  </si>
  <si>
    <t>Dy</t>
  </si>
  <si>
    <t>Mn</t>
  </si>
  <si>
    <t>Yr</t>
  </si>
  <si>
    <t xml:space="preserve"> </t>
  </si>
  <si>
    <t>Ayanamsa</t>
  </si>
  <si>
    <t>Precession Rate</t>
  </si>
  <si>
    <t>Start Year</t>
  </si>
  <si>
    <t>Lahiri</t>
  </si>
  <si>
    <t>Krishnamurthy</t>
  </si>
  <si>
    <t>BV Raman</t>
  </si>
  <si>
    <t>Fagan-Bradley</t>
  </si>
  <si>
    <t>Yukteshwara</t>
  </si>
  <si>
    <t>KP StraightLine</t>
  </si>
  <si>
    <t>DOB</t>
  </si>
  <si>
    <t>Day fraction</t>
  </si>
  <si>
    <t>D1 rasi #</t>
  </si>
  <si>
    <t>Reference #</t>
  </si>
  <si>
    <t>Deg in Rasi</t>
  </si>
  <si>
    <t>Nakshatra #</t>
  </si>
  <si>
    <t>Nakshatra at birth</t>
  </si>
  <si>
    <t>Custom Ayanamsa</t>
  </si>
  <si>
    <t>next day</t>
  </si>
  <si>
    <t>Graha</t>
  </si>
  <si>
    <t>Deg in Rasi2</t>
  </si>
  <si>
    <t xml:space="preserve">D-10: </t>
  </si>
  <si>
    <t>Traditional (Even: Start from 9th and go forward)</t>
  </si>
  <si>
    <t>division part</t>
  </si>
  <si>
    <t>deg start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</si>
  <si>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</si>
  <si>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</si>
  <si>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</si>
  <si>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</si>
  <si>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</si>
  <si>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</si>
  <si>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</si>
  <si>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</si>
  <si>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</si>
  <si>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</si>
  <si>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</si>
  <si>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</si>
  <si>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D-10: (9-12) (Even: Start from 9th and go reverse)</t>
  </si>
  <si>
    <t>D-10: (6-9):  (Even: Go reverse and end in 9th)</t>
  </si>
  <si>
    <t>D-10: (5-8):  (Even: Start from reverse 9th and go reverse)</t>
  </si>
  <si>
    <t>Nak. Pada</t>
  </si>
  <si>
    <t>Asdt</t>
  </si>
  <si>
    <t>D-10: (Pv):  (Ojha)</t>
  </si>
  <si>
    <t>from</t>
  </si>
  <si>
    <t>D1</t>
  </si>
  <si>
    <t>D1; single</t>
  </si>
  <si>
    <t>D-1: all</t>
  </si>
  <si>
    <t>As</t>
  </si>
  <si>
    <t>Public Ref #s</t>
  </si>
  <si>
    <t>Is Moon Benefic ?</t>
  </si>
  <si>
    <t>Is Me Benefic ?</t>
  </si>
  <si>
    <t>4,7,8</t>
  </si>
  <si>
    <t>https://www.youtube.com/watch?v=OaUQK9KSe5A&amp;ab_channel=SaptarishisAstrologyMagazine</t>
  </si>
  <si>
    <t>Graham X</t>
  </si>
  <si>
    <t>Graham-X Aspects</t>
  </si>
  <si>
    <t>Is Sa aspected by Graham-X(blank if not, else is)</t>
  </si>
  <si>
    <t>Prism D1</t>
  </si>
  <si>
    <t>Asc</t>
  </si>
  <si>
    <t>Total</t>
  </si>
  <si>
    <t>X</t>
  </si>
  <si>
    <t>Planets 
with X</t>
  </si>
  <si>
    <t>Is X with
 malefic</t>
  </si>
  <si>
    <t>Mo update</t>
  </si>
  <si>
    <t>Me update +Mo update</t>
  </si>
  <si>
    <t>Pure ?</t>
  </si>
  <si>
    <t>Pure Benefic Analysis
 (Mo is malefic +/-90 of Sun, Me is benefic if associated only with natural benefic)</t>
  </si>
  <si>
    <t>F</t>
  </si>
  <si>
    <t>A</t>
  </si>
  <si>
    <t>E</t>
  </si>
  <si>
    <t>C</t>
  </si>
  <si>
    <t>B</t>
  </si>
  <si>
    <t>G</t>
  </si>
  <si>
    <t>H</t>
  </si>
  <si>
    <t>D</t>
  </si>
  <si>
    <t>Alphabet Class</t>
  </si>
  <si>
    <t>Destiny Factor</t>
  </si>
  <si>
    <t>Step</t>
  </si>
  <si>
    <t>Escalation_Factors</t>
  </si>
  <si>
    <t>MF</t>
  </si>
  <si>
    <t>Sa in the 11th ?</t>
  </si>
  <si>
    <t>11th L in the 11 th ?</t>
  </si>
  <si>
    <t>7th L and 5th L from Mo aspect each other mutually ?</t>
  </si>
  <si>
    <t>7th L and 5th L from Mo in the same sign ?</t>
  </si>
  <si>
    <t>7th L and 5th L from Mo exchange houses ?</t>
  </si>
  <si>
    <t>Moon L and 11th L from Mo aspect each other mutually ?</t>
  </si>
  <si>
    <t>Moon  L and 11th L from Mo in the same sign ?</t>
  </si>
  <si>
    <t>Moon L and 11th L from Mo exchange houses ?</t>
  </si>
  <si>
    <t>Sa in the 11th from Mo ?</t>
  </si>
  <si>
    <t>11th L from Mo in the 11 th from Mo ?</t>
  </si>
  <si>
    <t>11th L from Mo is with  Moon ?</t>
  </si>
  <si>
    <t>Su in 3rd from Mo ?</t>
  </si>
  <si>
    <t>Yes</t>
  </si>
  <si>
    <t>No</t>
  </si>
  <si>
    <t>Moon Lord in the 11th from Mo without exchange ?</t>
  </si>
  <si>
    <t>Delay in D1</t>
  </si>
  <si>
    <t>Delay in DX</t>
  </si>
  <si>
    <t>Chart</t>
  </si>
  <si>
    <t>D9</t>
  </si>
  <si>
    <t>Rasi Number</t>
  </si>
  <si>
    <t>Alphabet</t>
  </si>
  <si>
    <t>Navamsa</t>
  </si>
  <si>
    <t>Rasi</t>
  </si>
  <si>
    <t>D-9(Trd)</t>
  </si>
  <si>
    <t>D-9: Traditional</t>
  </si>
  <si>
    <t>D-9 single</t>
  </si>
  <si>
    <t>D-9 all</t>
  </si>
  <si>
    <t>EF</t>
  </si>
  <si>
    <t>RF</t>
  </si>
  <si>
    <t>Net Delay</t>
  </si>
  <si>
    <t>D9 rasi#</t>
  </si>
  <si>
    <t>D1: Aspects</t>
  </si>
  <si>
    <t>D1 Asc Lord</t>
  </si>
  <si>
    <t>D9 Asc Lord</t>
  </si>
  <si>
    <t># of Navamsas crossed by D1 Asc Lord</t>
  </si>
  <si>
    <t># of Navamsas crossed by D9 Asc Lord</t>
  </si>
  <si>
    <t>row</t>
  </si>
  <si>
    <t>col</t>
  </si>
  <si>
    <t>Vicinity Years</t>
  </si>
  <si>
    <t>Male/Female (MF)</t>
  </si>
  <si>
    <t>Destiny Offset (years)</t>
  </si>
  <si>
    <t>Exact year</t>
  </si>
  <si>
    <t>Reducing Factors (RF)</t>
  </si>
  <si>
    <t>Planets with Sa only</t>
  </si>
  <si>
    <t>Role of Bhaghya /Punya from D-9</t>
  </si>
  <si>
    <t>Spl Benefic</t>
  </si>
  <si>
    <t>2. Physical Level 
(Lagna)</t>
  </si>
  <si>
    <t>3. Astral Level
 (Moon)</t>
  </si>
  <si>
    <t>Reduction of 
Delays</t>
  </si>
  <si>
    <t>Prism
 D9</t>
  </si>
  <si>
    <t>Lagna</t>
  </si>
  <si>
    <t>Moon</t>
  </si>
  <si>
    <t>1. General Level
(Sun: Atma)</t>
  </si>
  <si>
    <t>SUN</t>
  </si>
  <si>
    <t>Planets with/aspecting Sa only</t>
  </si>
  <si>
    <t>Lagna Lord in the 11th (without exchange) ?</t>
  </si>
  <si>
    <t>Is Sa with HP or HPL ?</t>
  </si>
  <si>
    <t>Does Sa aspect HP or HPL ?</t>
  </si>
  <si>
    <t>Planets aspecting and with 7L and 5L</t>
  </si>
  <si>
    <t>Su from Lagna</t>
  </si>
  <si>
    <t>Su from Moon</t>
  </si>
  <si>
    <t>Sum to get row</t>
  </si>
  <si>
    <t>Signs aspected by X</t>
  </si>
  <si>
    <t>3,7,10</t>
  </si>
  <si>
    <t>5,7,9</t>
  </si>
  <si>
    <t>2,5,7,9</t>
  </si>
  <si>
    <t>D1 rasi#</t>
  </si>
  <si>
    <t>11th-L in Lagna (without exchange)  ?</t>
  </si>
  <si>
    <t>Special
 Benefic</t>
  </si>
  <si>
    <t>Planets with 7L and 5L only</t>
  </si>
  <si>
    <r>
      <t>Planets</t>
    </r>
    <r>
      <rPr>
        <i/>
        <u/>
        <sz val="11"/>
        <color theme="1"/>
        <rFont val="Calibri"/>
        <family val="2"/>
        <scheme val="minor"/>
      </rPr>
      <t xml:space="preserve"> aspecting and with</t>
    </r>
    <r>
      <rPr>
        <i/>
        <sz val="11"/>
        <color theme="1"/>
        <rFont val="Calibri"/>
        <family val="2"/>
        <scheme val="minor"/>
      </rPr>
      <t xml:space="preserve"> 7L and 5L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</si>
  <si>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with</t>
    </r>
    <r>
      <rPr>
        <i/>
        <sz val="11"/>
        <color theme="1"/>
        <rFont val="Calibri"/>
        <family val="2"/>
        <scheme val="minor"/>
      </rPr>
      <t xml:space="preserve"> 7L and 5L only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</si>
  <si>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 xml:space="preserve">aspecting and with </t>
    </r>
    <r>
      <rPr>
        <i/>
        <sz val="11"/>
        <color theme="1"/>
        <rFont val="Calibri"/>
        <family val="2"/>
        <scheme val="minor"/>
      </rPr>
      <t>LL and 11L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</si>
  <si>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with</t>
    </r>
    <r>
      <rPr>
        <i/>
        <sz val="11"/>
        <color theme="1"/>
        <rFont val="Calibri"/>
        <family val="2"/>
        <scheme val="minor"/>
      </rPr>
      <t xml:space="preserve"> LL and 11L only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</si>
  <si>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aspecting and with</t>
    </r>
    <r>
      <rPr>
        <i/>
        <sz val="11"/>
        <color theme="1"/>
        <rFont val="Calibri"/>
        <family val="2"/>
        <scheme val="minor"/>
      </rPr>
      <t xml:space="preserve"> LL and 11L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</si>
  <si>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in</t>
    </r>
    <r>
      <rPr>
        <i/>
        <sz val="11"/>
        <color theme="1"/>
        <rFont val="Calibri"/>
        <family val="2"/>
        <scheme val="minor"/>
      </rPr>
      <t xml:space="preserve"> the 11th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</si>
  <si>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in</t>
    </r>
    <r>
      <rPr>
        <i/>
        <sz val="11"/>
        <color theme="1"/>
        <rFont val="Calibri"/>
        <family val="2"/>
        <scheme val="minor"/>
      </rPr>
      <t xml:space="preserve"> Lagna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</si>
  <si>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aspecting and with</t>
    </r>
    <r>
      <rPr>
        <i/>
        <sz val="11"/>
        <color theme="1"/>
        <rFont val="Calibri"/>
        <family val="2"/>
        <scheme val="minor"/>
      </rPr>
      <t xml:space="preserve"> ML and 11L</t>
    </r>
  </si>
  <si>
    <r>
      <t>Planets</t>
    </r>
    <r>
      <rPr>
        <i/>
        <u/>
        <sz val="11"/>
        <color theme="1"/>
        <rFont val="Calibri"/>
        <family val="2"/>
        <scheme val="minor"/>
      </rPr>
      <t xml:space="preserve"> with </t>
    </r>
    <r>
      <rPr>
        <i/>
        <sz val="11"/>
        <color theme="1"/>
        <rFont val="Calibri"/>
        <family val="2"/>
        <scheme val="minor"/>
      </rPr>
      <t>ML and 11L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</si>
  <si>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aspecting and with</t>
    </r>
    <r>
      <rPr>
        <i/>
        <sz val="11"/>
        <color theme="1"/>
        <rFont val="Calibri"/>
        <family val="2"/>
        <scheme val="minor"/>
      </rPr>
      <t xml:space="preserve"> ML and  11L</t>
    </r>
  </si>
  <si>
    <r>
      <t>Planets</t>
    </r>
    <r>
      <rPr>
        <i/>
        <u/>
        <sz val="11"/>
        <color theme="1"/>
        <rFont val="Calibri"/>
        <family val="2"/>
        <scheme val="minor"/>
      </rPr>
      <t xml:space="preserve"> in</t>
    </r>
    <r>
      <rPr>
        <i/>
        <sz val="11"/>
        <color theme="1"/>
        <rFont val="Calibri"/>
        <family val="2"/>
        <scheme val="minor"/>
      </rPr>
      <t xml:space="preserve"> the 11th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</si>
  <si>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with</t>
    </r>
    <r>
      <rPr>
        <i/>
        <sz val="11"/>
        <color theme="1"/>
        <rFont val="Calibri"/>
        <family val="2"/>
        <scheme val="minor"/>
      </rPr>
      <t xml:space="preserve"> Mo</t>
    </r>
  </si>
  <si>
    <t>Base(universal factor)</t>
  </si>
  <si>
    <t>Base(uf)</t>
  </si>
  <si>
    <t>Helper Column</t>
  </si>
  <si>
    <r>
      <t>Planets</t>
    </r>
    <r>
      <rPr>
        <i/>
        <u/>
        <sz val="11"/>
        <color theme="1"/>
        <rFont val="Calibri"/>
        <family val="2"/>
        <scheme val="minor"/>
      </rPr>
      <t xml:space="preserve"> with and aspecting </t>
    </r>
    <r>
      <rPr>
        <i/>
        <sz val="11"/>
        <color theme="1"/>
        <rFont val="Calibri"/>
        <family val="2"/>
        <scheme val="minor"/>
      </rPr>
      <t>Sa only</t>
    </r>
  </si>
  <si>
    <r>
      <t xml:space="preserve">Planets </t>
    </r>
    <r>
      <rPr>
        <i/>
        <u/>
        <sz val="11"/>
        <color theme="1"/>
        <rFont val="Calibri"/>
        <family val="2"/>
        <scheme val="minor"/>
      </rPr>
      <t>with</t>
    </r>
    <r>
      <rPr>
        <i/>
        <sz val="11"/>
        <color theme="1"/>
        <rFont val="Calibri"/>
        <family val="2"/>
        <scheme val="minor"/>
      </rPr>
      <t xml:space="preserve"> Sa only</t>
    </r>
  </si>
  <si>
    <r>
      <t xml:space="preserve">Does Sa </t>
    </r>
    <r>
      <rPr>
        <i/>
        <u/>
        <sz val="11"/>
        <color theme="1"/>
        <rFont val="Calibri"/>
        <family val="2"/>
        <scheme val="minor"/>
      </rPr>
      <t>aspect</t>
    </r>
    <r>
      <rPr>
        <i/>
        <sz val="11"/>
        <color theme="1"/>
        <rFont val="Calibri"/>
        <family val="2"/>
        <scheme val="minor"/>
      </rPr>
      <t xml:space="preserve"> HP  or HPL ?</t>
    </r>
  </si>
  <si>
    <r>
      <t>Is Sa</t>
    </r>
    <r>
      <rPr>
        <i/>
        <u/>
        <sz val="11"/>
        <color theme="1"/>
        <rFont val="Calibri"/>
        <family val="2"/>
        <scheme val="minor"/>
      </rPr>
      <t xml:space="preserve"> with</t>
    </r>
    <r>
      <rPr>
        <i/>
        <sz val="11"/>
        <color theme="1"/>
        <rFont val="Calibri"/>
        <family val="2"/>
        <scheme val="minor"/>
      </rPr>
      <t xml:space="preserve"> HP or HPL ?</t>
    </r>
  </si>
  <si>
    <r>
      <t xml:space="preserve">7th-L and 5th-L </t>
    </r>
    <r>
      <rPr>
        <i/>
        <u/>
        <sz val="11"/>
        <color theme="1"/>
        <rFont val="Calibri"/>
        <family val="2"/>
        <scheme val="minor"/>
      </rPr>
      <t xml:space="preserve">aspect </t>
    </r>
    <r>
      <rPr>
        <i/>
        <sz val="11"/>
        <color theme="1"/>
        <rFont val="Calibri"/>
        <family val="2"/>
        <scheme val="minor"/>
      </rPr>
      <t>each other mutually ?</t>
    </r>
  </si>
  <si>
    <r>
      <t>7th-L and 5th-L</t>
    </r>
    <r>
      <rPr>
        <i/>
        <u/>
        <sz val="11"/>
        <color theme="1"/>
        <rFont val="Calibri"/>
        <family val="2"/>
        <scheme val="minor"/>
      </rPr>
      <t xml:space="preserve"> in</t>
    </r>
    <r>
      <rPr>
        <i/>
        <sz val="11"/>
        <color theme="1"/>
        <rFont val="Calibri"/>
        <family val="2"/>
        <scheme val="minor"/>
      </rPr>
      <t xml:space="preserve"> the same sign ?</t>
    </r>
  </si>
  <si>
    <r>
      <t xml:space="preserve">7th-L and 5th-L </t>
    </r>
    <r>
      <rPr>
        <i/>
        <u/>
        <sz val="11"/>
        <color theme="1"/>
        <rFont val="Calibri"/>
        <family val="2"/>
        <scheme val="minor"/>
      </rPr>
      <t>exchange</t>
    </r>
    <r>
      <rPr>
        <i/>
        <sz val="11"/>
        <color theme="1"/>
        <rFont val="Calibri"/>
        <family val="2"/>
        <scheme val="minor"/>
      </rPr>
      <t xml:space="preserve"> houses ?</t>
    </r>
  </si>
  <si>
    <r>
      <t xml:space="preserve">Lagna-L and 11th-L </t>
    </r>
    <r>
      <rPr>
        <i/>
        <u/>
        <sz val="11"/>
        <color theme="1"/>
        <rFont val="Calibri"/>
        <family val="2"/>
        <scheme val="minor"/>
      </rPr>
      <t>aspect</t>
    </r>
    <r>
      <rPr>
        <i/>
        <sz val="11"/>
        <color theme="1"/>
        <rFont val="Calibri"/>
        <family val="2"/>
        <scheme val="minor"/>
      </rPr>
      <t xml:space="preserve"> each other mutually ?</t>
    </r>
  </si>
  <si>
    <r>
      <t>Lagna  L and 11th L</t>
    </r>
    <r>
      <rPr>
        <i/>
        <u/>
        <sz val="11"/>
        <color theme="1"/>
        <rFont val="Calibri"/>
        <family val="2"/>
        <scheme val="minor"/>
      </rPr>
      <t xml:space="preserve"> in</t>
    </r>
    <r>
      <rPr>
        <i/>
        <sz val="11"/>
        <color theme="1"/>
        <rFont val="Calibri"/>
        <family val="2"/>
        <scheme val="minor"/>
      </rPr>
      <t xml:space="preserve"> the same sign ?</t>
    </r>
  </si>
  <si>
    <r>
      <t xml:space="preserve">Lagna L and 11th L </t>
    </r>
    <r>
      <rPr>
        <i/>
        <u/>
        <sz val="11"/>
        <color theme="1"/>
        <rFont val="Calibri"/>
        <family val="2"/>
        <scheme val="minor"/>
      </rPr>
      <t>exchange</t>
    </r>
    <r>
      <rPr>
        <i/>
        <sz val="11"/>
        <color theme="1"/>
        <rFont val="Calibri"/>
        <family val="2"/>
        <scheme val="minor"/>
      </rPr>
      <t xml:space="preserve"> houses ?</t>
    </r>
  </si>
  <si>
    <r>
      <t xml:space="preserve">Does HP belong to BenSign ? Natural Ben-pl aspect HP </t>
    </r>
    <r>
      <rPr>
        <sz val="8"/>
        <color theme="1"/>
        <rFont val="Wingdings"/>
        <charset val="2"/>
      </rPr>
      <t>â</t>
    </r>
  </si>
  <si>
    <t>D9 Chart</t>
  </si>
  <si>
    <t>Mo status9</t>
  </si>
  <si>
    <t>Mestatus9</t>
  </si>
  <si>
    <t>D9 Longitude</t>
  </si>
  <si>
    <t>Pure Benefic</t>
  </si>
  <si>
    <t>Delays</t>
  </si>
  <si>
    <t>Escalation Factors</t>
  </si>
  <si>
    <t>For Marriage</t>
  </si>
  <si>
    <t>male</t>
  </si>
  <si>
    <t>female</t>
  </si>
  <si>
    <t>If DOB--&gt;</t>
  </si>
  <si>
    <t>Base</t>
  </si>
  <si>
    <t>Year from</t>
  </si>
  <si>
    <t xml:space="preserve"> Year to</t>
  </si>
  <si>
    <t>Benefic HP ?</t>
  </si>
  <si>
    <r>
      <rPr>
        <b/>
        <sz val="11"/>
        <color theme="1"/>
        <rFont val="Wingdings"/>
        <charset val="2"/>
      </rPr>
      <t>ß</t>
    </r>
    <r>
      <rPr>
        <b/>
        <sz val="11"/>
        <color theme="1"/>
        <rFont val="Calibri"/>
        <family val="2"/>
        <scheme val="minor"/>
      </rPr>
      <t>Check column B for query</t>
    </r>
  </si>
  <si>
    <r>
      <rPr>
        <b/>
        <sz val="11"/>
        <color theme="1"/>
        <rFont val="Wingdings"/>
        <charset val="2"/>
      </rPr>
      <t>ß</t>
    </r>
    <r>
      <rPr>
        <b/>
        <sz val="11"/>
        <color theme="1"/>
        <rFont val="Calibri"/>
        <family val="2"/>
        <scheme val="minor"/>
      </rPr>
      <t>Check column DEF for conditions</t>
    </r>
  </si>
  <si>
    <t>(Mo-Su)</t>
  </si>
  <si>
    <t>Answer if "Yes"</t>
  </si>
  <si>
    <t>Delays (Answer col N if Yes)</t>
  </si>
  <si>
    <r>
      <t xml:space="preserve">Does HP belong to BenSign ? 
Natural Ben-pl aspect HP  ? </t>
    </r>
    <r>
      <rPr>
        <i/>
        <sz val="8"/>
        <color theme="1"/>
        <rFont val="Wingdings"/>
        <charset val="2"/>
      </rPr>
      <t>â</t>
    </r>
  </si>
  <si>
    <t>Enter column P with graha names (like Ju Sa Ma) only for EF=Yes</t>
  </si>
  <si>
    <t>Enter column G with graha names (like Ju Sa Ma)
 only for EF=Yes</t>
  </si>
  <si>
    <t>1. Does  Saturn aspect Sun ?</t>
  </si>
  <si>
    <t>2. Is Saturn with Su ?</t>
  </si>
  <si>
    <t>2. Planets with Sa+Su</t>
  </si>
  <si>
    <t>1. Planets with Sa, Planets with Su</t>
  </si>
  <si>
    <t>1. Planets aspecting Sa only</t>
  </si>
  <si>
    <t>Number of Navamsas  within rasi</t>
  </si>
  <si>
    <t>360 Degree  in rasi for a mid navamsa</t>
  </si>
  <si>
    <t>Given "Rasi-Number" and "Navamsa-Number"  Generate 360 degree in rasi</t>
  </si>
  <si>
    <t>Entity</t>
  </si>
  <si>
    <t>Column1</t>
  </si>
  <si>
    <t>Navamsa count from ?
for Fire/Earth/Air/Water</t>
  </si>
  <si>
    <t>Rasi-Number</t>
  </si>
  <si>
    <t>Navamsa 
Number</t>
  </si>
  <si>
    <t>Rasi: Fire
Earth
Air
Water ?</t>
  </si>
  <si>
    <t>Selected Row</t>
  </si>
  <si>
    <t>Selected Col</t>
  </si>
  <si>
    <t>Ma Ra</t>
  </si>
  <si>
    <t>m</t>
  </si>
  <si>
    <t>Sudarshana Chakra point of view</t>
  </si>
  <si>
    <t>Three Perspectives</t>
  </si>
  <si>
    <t>Three
Perspectives</t>
  </si>
  <si>
    <t>Desha Kala Patra</t>
  </si>
  <si>
    <t xml:space="preserve"> 5th and 7th
 (role of Bhadaka)</t>
  </si>
  <si>
    <t xml:space="preserve"> Asc and 11th
 (role of Bhadaka)</t>
  </si>
  <si>
    <t xml:space="preserve"> 5th and 7th
(role of Bhadaka)</t>
  </si>
  <si>
    <t xml:space="preserve"> Asc and 11th
(role of Bhadaka)</t>
  </si>
  <si>
    <r>
      <t>Su in 3rd (</t>
    </r>
    <r>
      <rPr>
        <b/>
        <i/>
        <sz val="8"/>
        <color theme="1"/>
        <rFont val="Calibri"/>
        <family val="2"/>
        <scheme val="minor"/>
      </rPr>
      <t>Badhaka9 to HP</t>
    </r>
    <r>
      <rPr>
        <b/>
        <i/>
        <sz val="11"/>
        <color theme="1"/>
        <rFont val="Calibri"/>
        <family val="2"/>
        <scheme val="minor"/>
      </rPr>
      <t>) from Lagna?</t>
    </r>
  </si>
  <si>
    <t>User Input</t>
  </si>
  <si>
    <t>Timing Events using Sadhu Paddhati</t>
  </si>
  <si>
    <t xml:space="preserve">Punya
from Navamsa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</si>
</sst>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-mmm\-yyyy\ h:mm:ss\ AM/PM"/>
    <numFmt numFmtId="165" formatCode="[$-F400]h:mm:ss\ AM/PM"/>
    <numFmt numFmtId="166" formatCode="0.0000000000"/>
    <numFmt numFmtId="167" formatCode="0.0000000"/>
    <numFmt numFmtId="168" formatCode="0.000"/>
    <numFmt numFmtId="169" formatCode="0.0000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6"/>
      <name val="Arial"/>
      <family val="2"/>
    </font>
    <font>
      <sz val="16"/>
      <color theme="1"/>
      <name val="Algerian"/>
      <family val="5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Algerian"/>
      <family val="5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name val="Algerian"/>
      <family val="5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Algerian"/>
      <family val="5"/>
    </font>
    <font>
      <b/>
      <i/>
      <sz val="11"/>
      <color rgb="FFFF0000"/>
      <name val="Calibri"/>
      <family val="2"/>
      <scheme val="minor"/>
    </font>
    <font>
      <b/>
      <sz val="16"/>
      <color theme="1"/>
      <name val="Algerian"/>
      <family val="5"/>
    </font>
    <font>
      <b/>
      <sz val="24"/>
      <color theme="1"/>
      <name val="Algerian"/>
      <family val="5"/>
    </font>
    <font>
      <b/>
      <sz val="9"/>
      <color indexed="81"/>
      <name val="Tahoma"/>
      <family val="2"/>
    </font>
    <font>
      <b/>
      <sz val="16"/>
      <color theme="0"/>
      <name val="Algerian"/>
      <family val="5"/>
    </font>
    <font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8"/>
      <color theme="1"/>
      <name val="Wingdings"/>
      <charset val="2"/>
    </font>
    <font>
      <i/>
      <sz val="8"/>
      <color theme="1"/>
      <name val="Wingdings"/>
      <charset val="2"/>
    </font>
    <font>
      <sz val="8"/>
      <color indexed="81"/>
      <name val="Tahoma"/>
      <family val="2"/>
    </font>
    <font>
      <sz val="8"/>
      <color indexed="81"/>
      <name val="Calibri"/>
      <family val="2"/>
      <scheme val="minor"/>
    </font>
    <font>
      <b/>
      <sz val="11"/>
      <color theme="1"/>
      <name val="Wingdings"/>
      <charset val="2"/>
    </font>
    <font>
      <b/>
      <sz val="12"/>
      <color theme="1"/>
      <name val="Algerian"/>
      <family val="5"/>
    </font>
    <font>
      <b/>
      <i/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i/>
      <sz val="10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lgerian"/>
      <family val="5"/>
    </font>
    <font>
      <sz val="10"/>
      <color theme="1"/>
      <name val="Calibri"/>
      <family val="2"/>
      <scheme val="minor"/>
    </font>
    <font>
      <i/>
      <sz val="12"/>
      <color theme="1"/>
      <name val="Algerian"/>
      <family val="5"/>
    </font>
    <font>
      <sz val="18"/>
      <color theme="1"/>
      <name val="Algerian"/>
      <family val="5"/>
    </font>
  </fonts>
  <fills count="2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theme="7" tint="0.79998168889431442"/>
      </patternFill>
    </fill>
    <fill>
      <patternFill patternType="solid">
        <fgColor theme="5" tint="0.59999389629810485"/>
        <bgColor theme="7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7" tint="0.79998168889431442"/>
      </patternFill>
    </fill>
    <fill>
      <patternFill patternType="solid">
        <fgColor theme="8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/>
      <top style="thick">
        <color theme="9"/>
      </top>
      <bottom style="thin">
        <color indexed="64"/>
      </bottom>
      <diagonal/>
    </border>
    <border>
      <left/>
      <right style="thick">
        <color theme="9"/>
      </right>
      <top style="thick">
        <color theme="9"/>
      </top>
      <bottom style="thin">
        <color indexed="64"/>
      </bottom>
      <diagonal/>
    </border>
    <border>
      <left/>
      <right style="thick">
        <color theme="9"/>
      </right>
      <top style="thin">
        <color indexed="64"/>
      </top>
      <bottom style="thin">
        <color indexed="64"/>
      </bottom>
      <diagonal/>
    </border>
    <border>
      <left/>
      <right style="thick">
        <color theme="9"/>
      </right>
      <top style="medium">
        <color indexed="64"/>
      </top>
      <bottom style="thin">
        <color indexed="64"/>
      </bottom>
      <diagonal/>
    </border>
    <border>
      <left/>
      <right style="thick">
        <color theme="9"/>
      </right>
      <top style="thin">
        <color indexed="64"/>
      </top>
      <bottom/>
      <diagonal/>
    </border>
    <border>
      <left/>
      <right style="thick">
        <color theme="9"/>
      </right>
      <top/>
      <bottom/>
      <diagonal/>
    </border>
    <border>
      <left/>
      <right style="thick">
        <color theme="9"/>
      </right>
      <top/>
      <bottom style="thin">
        <color indexed="64"/>
      </bottom>
      <diagonal/>
    </border>
    <border>
      <left/>
      <right style="thick">
        <color theme="9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 style="thick">
        <color theme="9"/>
      </left>
      <right style="thick">
        <color theme="9"/>
      </right>
      <top style="thick">
        <color theme="9"/>
      </top>
      <bottom style="thin">
        <color indexed="64"/>
      </bottom>
      <diagonal/>
    </border>
    <border>
      <left style="thick">
        <color theme="9"/>
      </left>
      <right style="thick">
        <color theme="9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ck">
        <color theme="9"/>
      </right>
      <top style="thin">
        <color indexed="64"/>
      </top>
      <bottom style="thick">
        <color theme="9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indexed="64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 style="thick">
        <color indexed="64"/>
      </bottom>
      <diagonal/>
    </border>
    <border>
      <left style="thick">
        <color theme="9"/>
      </left>
      <right/>
      <top style="medium">
        <color indexed="64"/>
      </top>
      <bottom/>
      <diagonal/>
    </border>
    <border>
      <left/>
      <right style="thick">
        <color theme="9"/>
      </right>
      <top style="thick">
        <color indexed="64"/>
      </top>
      <bottom/>
      <diagonal/>
    </border>
    <border>
      <left style="medium">
        <color indexed="64"/>
      </left>
      <right style="thick">
        <color theme="9"/>
      </right>
      <top style="medium">
        <color indexed="64"/>
      </top>
      <bottom/>
      <diagonal/>
    </border>
    <border>
      <left style="medium">
        <color indexed="64"/>
      </left>
      <right style="thick">
        <color theme="9"/>
      </right>
      <top/>
      <bottom/>
      <diagonal/>
    </border>
    <border>
      <left style="medium">
        <color indexed="64"/>
      </left>
      <right style="thick">
        <color theme="9"/>
      </right>
      <top/>
      <bottom style="medium">
        <color indexed="64"/>
      </bottom>
      <diagonal/>
    </border>
    <border>
      <left/>
      <right style="thin">
        <color indexed="64"/>
      </right>
      <top/>
      <bottom style="thick">
        <color theme="9"/>
      </bottom>
      <diagonal/>
    </border>
    <border>
      <left style="medium">
        <color indexed="64"/>
      </left>
      <right/>
      <top/>
      <bottom style="thick">
        <color theme="9"/>
      </bottom>
      <diagonal/>
    </border>
    <border>
      <left style="medium">
        <color indexed="64"/>
      </left>
      <right style="thick">
        <color theme="9"/>
      </right>
      <top/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/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medium">
        <color indexed="64"/>
      </bottom>
      <diagonal/>
    </border>
    <border>
      <left style="thick">
        <color rgb="FFFF0000"/>
      </left>
      <right/>
      <top/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thick">
        <color rgb="FFFF0000"/>
      </right>
      <top/>
      <bottom/>
      <diagonal/>
    </border>
    <border>
      <left style="thick">
        <color theme="1"/>
      </left>
      <right/>
      <top style="thick">
        <color theme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theme="9"/>
      </right>
      <top style="medium">
        <color indexed="64"/>
      </top>
      <bottom/>
      <diagonal/>
    </border>
    <border>
      <left/>
      <right style="thick">
        <color theme="9"/>
      </right>
      <top/>
      <bottom style="medium">
        <color indexed="64"/>
      </bottom>
      <diagonal/>
    </border>
  </borders>
  <cellStyleXfs count="21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0" fontId="8" fillId="0" borderId="0"/>
    <xf numFmtId="9" fontId="8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2" borderId="1" xfId="1" applyNumberFormat="1" applyFont="1" applyFill="1" applyBorder="1" applyProtection="1"/>
    <xf numFmtId="0" fontId="3" fillId="2" borderId="7" xfId="1" applyFont="1" applyFill="1" applyBorder="1" applyAlignment="1" applyProtection="1"/>
    <xf numFmtId="0" fontId="3" fillId="2" borderId="3" xfId="1" applyFont="1" applyFill="1" applyBorder="1"/>
    <xf numFmtId="164" fontId="3" fillId="2" borderId="2" xfId="1" applyNumberFormat="1" applyFont="1" applyFill="1" applyBorder="1" applyProtection="1"/>
    <xf numFmtId="166" fontId="3" fillId="2" borderId="4" xfId="1" applyNumberFormat="1" applyFont="1" applyFill="1" applyBorder="1" applyAlignment="1" applyProtection="1">
      <alignment horizontal="left"/>
    </xf>
    <xf numFmtId="0" fontId="3" fillId="2" borderId="2" xfId="1" applyFont="1" applyFill="1" applyBorder="1" applyAlignment="1" applyProtection="1"/>
    <xf numFmtId="0" fontId="7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0" fillId="4" borderId="0" xfId="0" applyFill="1"/>
    <xf numFmtId="0" fontId="0" fillId="4" borderId="0" xfId="0" applyFill="1" applyAlignment="1">
      <alignment horizontal="right"/>
    </xf>
    <xf numFmtId="1" fontId="0" fillId="4" borderId="0" xfId="0" applyNumberFormat="1" applyFill="1" applyAlignment="1">
      <alignment horizontal="right"/>
    </xf>
    <xf numFmtId="167" fontId="0" fillId="0" borderId="0" xfId="0" applyNumberFormat="1"/>
    <xf numFmtId="164" fontId="6" fillId="2" borderId="6" xfId="1" applyNumberFormat="1" applyFont="1" applyFill="1" applyBorder="1" applyAlignment="1" applyProtection="1">
      <alignment horizontal="left"/>
    </xf>
    <xf numFmtId="0" fontId="4" fillId="3" borderId="6" xfId="0" applyNumberFormat="1" applyFont="1" applyFill="1" applyBorder="1" applyAlignment="1" applyProtection="1">
      <alignment horizontal="left"/>
      <protection locked="0"/>
    </xf>
    <xf numFmtId="0" fontId="12" fillId="0" borderId="0" xfId="0" applyFont="1" applyAlignment="1">
      <alignment horizontal="left"/>
    </xf>
    <xf numFmtId="14" fontId="4" fillId="3" borderId="4" xfId="0" applyNumberFormat="1" applyFont="1" applyFill="1" applyBorder="1" applyAlignment="1" applyProtection="1">
      <alignment horizontal="left"/>
    </xf>
    <xf numFmtId="0" fontId="13" fillId="8" borderId="0" xfId="0" applyFont="1" applyFill="1"/>
    <xf numFmtId="0" fontId="5" fillId="9" borderId="4" xfId="1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right" vertical="center" wrapText="1"/>
    </xf>
    <xf numFmtId="0" fontId="14" fillId="0" borderId="0" xfId="0" applyFont="1"/>
    <xf numFmtId="0" fontId="0" fillId="0" borderId="0" xfId="0" applyAlignment="1">
      <alignment horizontal="left"/>
    </xf>
    <xf numFmtId="2" fontId="4" fillId="3" borderId="5" xfId="0" applyNumberFormat="1" applyFont="1" applyFill="1" applyBorder="1" applyAlignment="1" applyProtection="1">
      <alignment horizontal="left"/>
    </xf>
    <xf numFmtId="165" fontId="4" fillId="3" borderId="6" xfId="0" applyNumberFormat="1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NumberFormat="1" applyBorder="1"/>
    <xf numFmtId="0" fontId="3" fillId="2" borderId="2" xfId="1" applyFont="1" applyFill="1" applyBorder="1"/>
    <xf numFmtId="0" fontId="0" fillId="0" borderId="0" xfId="0" applyFill="1"/>
    <xf numFmtId="169" fontId="9" fillId="6" borderId="11" xfId="0" applyNumberFormat="1" applyFont="1" applyFill="1" applyBorder="1" applyAlignment="1">
      <alignment horizontal="right" vertical="center"/>
    </xf>
    <xf numFmtId="0" fontId="14" fillId="0" borderId="0" xfId="0" applyFont="1" applyBorder="1"/>
    <xf numFmtId="0" fontId="14" fillId="0" borderId="0" xfId="0" applyFont="1" applyBorder="1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7" fillId="0" borderId="0" xfId="0" applyFont="1" applyFill="1"/>
    <xf numFmtId="0" fontId="15" fillId="10" borderId="0" xfId="0" applyFont="1" applyFill="1" applyAlignment="1">
      <alignment horizontal="left"/>
    </xf>
    <xf numFmtId="0" fontId="15" fillId="0" borderId="0" xfId="0" applyFont="1" applyAlignment="1">
      <alignment horizontal="left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right" vertical="center"/>
    </xf>
    <xf numFmtId="169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left" vertical="center"/>
    </xf>
    <xf numFmtId="168" fontId="9" fillId="0" borderId="0" xfId="0" applyNumberFormat="1" applyFont="1" applyFill="1" applyBorder="1" applyAlignment="1">
      <alignment horizontal="right" vertical="center"/>
    </xf>
    <xf numFmtId="168" fontId="9" fillId="6" borderId="12" xfId="0" applyNumberFormat="1" applyFont="1" applyFill="1" applyBorder="1" applyAlignment="1">
      <alignment horizontal="right" vertical="center"/>
    </xf>
    <xf numFmtId="168" fontId="9" fillId="7" borderId="12" xfId="0" applyNumberFormat="1" applyFont="1" applyFill="1" applyBorder="1" applyAlignment="1">
      <alignment horizontal="right" vertical="center"/>
    </xf>
    <xf numFmtId="0" fontId="10" fillId="5" borderId="13" xfId="0" applyFont="1" applyFill="1" applyBorder="1" applyAlignment="1">
      <alignment horizontal="right" vertical="center"/>
    </xf>
    <xf numFmtId="0" fontId="10" fillId="5" borderId="13" xfId="0" applyFont="1" applyFill="1" applyBorder="1" applyAlignment="1">
      <alignment horizontal="right" vertical="center" wrapText="1"/>
    </xf>
    <xf numFmtId="0" fontId="10" fillId="5" borderId="13" xfId="0" applyFont="1" applyFill="1" applyBorder="1" applyAlignment="1">
      <alignment horizontal="left" vertical="center" wrapText="1"/>
    </xf>
    <xf numFmtId="0" fontId="0" fillId="6" borderId="14" xfId="0" applyFont="1" applyFill="1" applyBorder="1" applyAlignment="1">
      <alignment horizontal="right" vertical="center"/>
    </xf>
    <xf numFmtId="169" fontId="9" fillId="6" borderId="15" xfId="0" applyNumberFormat="1" applyFont="1" applyFill="1" applyBorder="1" applyAlignment="1">
      <alignment horizontal="righ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5" xfId="0" applyFont="1" applyFill="1" applyBorder="1" applyAlignment="1">
      <alignment horizontal="left" vertical="center"/>
    </xf>
    <xf numFmtId="168" fontId="9" fillId="6" borderId="15" xfId="0" applyNumberFormat="1" applyFont="1" applyFill="1" applyBorder="1" applyAlignment="1">
      <alignment horizontal="right" vertical="center"/>
    </xf>
    <xf numFmtId="168" fontId="9" fillId="7" borderId="15" xfId="0" applyNumberFormat="1" applyFont="1" applyFill="1" applyBorder="1" applyAlignment="1">
      <alignment horizontal="right" vertical="center"/>
    </xf>
    <xf numFmtId="0" fontId="0" fillId="7" borderId="16" xfId="0" applyFont="1" applyFill="1" applyBorder="1" applyAlignment="1">
      <alignment horizontal="right"/>
    </xf>
    <xf numFmtId="169" fontId="9" fillId="7" borderId="12" xfId="0" applyNumberFormat="1" applyFont="1" applyFill="1" applyBorder="1" applyAlignment="1">
      <alignment horizontal="right" vertical="center"/>
    </xf>
    <xf numFmtId="0" fontId="9" fillId="7" borderId="12" xfId="0" applyFont="1" applyFill="1" applyBorder="1" applyAlignment="1">
      <alignment horizontal="right" vertical="center"/>
    </xf>
    <xf numFmtId="0" fontId="9" fillId="7" borderId="12" xfId="0" applyFont="1" applyFill="1" applyBorder="1" applyAlignment="1">
      <alignment horizontal="left" vertical="center"/>
    </xf>
    <xf numFmtId="0" fontId="0" fillId="6" borderId="16" xfId="0" applyFont="1" applyFill="1" applyBorder="1" applyAlignment="1">
      <alignment horizontal="right"/>
    </xf>
    <xf numFmtId="169" fontId="9" fillId="6" borderId="12" xfId="0" applyNumberFormat="1" applyFont="1" applyFill="1" applyBorder="1" applyAlignment="1">
      <alignment horizontal="right" vertical="center"/>
    </xf>
    <xf numFmtId="0" fontId="9" fillId="6" borderId="12" xfId="0" applyFont="1" applyFill="1" applyBorder="1" applyAlignment="1">
      <alignment horizontal="right" vertical="center"/>
    </xf>
    <xf numFmtId="0" fontId="9" fillId="6" borderId="12" xfId="0" applyFont="1" applyFill="1" applyBorder="1" applyAlignment="1">
      <alignment horizontal="left" vertical="center"/>
    </xf>
    <xf numFmtId="0" fontId="9" fillId="6" borderId="16" xfId="0" applyFont="1" applyFill="1" applyBorder="1" applyAlignment="1">
      <alignment horizontal="right" vertical="center"/>
    </xf>
    <xf numFmtId="0" fontId="10" fillId="5" borderId="13" xfId="0" applyFont="1" applyFill="1" applyBorder="1" applyAlignment="1">
      <alignment horizontal="right" vertical="top"/>
    </xf>
    <xf numFmtId="0" fontId="15" fillId="0" borderId="0" xfId="0" applyFont="1" applyFill="1" applyAlignment="1">
      <alignment horizontal="left"/>
    </xf>
    <xf numFmtId="0" fontId="0" fillId="0" borderId="0" xfId="0" applyFont="1" applyFill="1" applyBorder="1"/>
    <xf numFmtId="0" fontId="0" fillId="0" borderId="18" xfId="0" applyBorder="1"/>
    <xf numFmtId="0" fontId="21" fillId="0" borderId="2" xfId="0" applyFont="1" applyBorder="1" applyAlignment="1">
      <alignment horizontal="center" vertical="center" wrapText="1"/>
    </xf>
    <xf numFmtId="0" fontId="22" fillId="0" borderId="0" xfId="0" applyFont="1" applyBorder="1" applyAlignment="1">
      <alignment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wrapText="1"/>
    </xf>
    <xf numFmtId="0" fontId="23" fillId="0" borderId="7" xfId="0" applyFont="1" applyBorder="1" applyAlignment="1">
      <alignment wrapText="1"/>
    </xf>
    <xf numFmtId="0" fontId="23" fillId="0" borderId="19" xfId="0" applyFont="1" applyBorder="1" applyAlignment="1">
      <alignment wrapText="1"/>
    </xf>
    <xf numFmtId="0" fontId="23" fillId="0" borderId="8" xfId="0" applyFont="1" applyBorder="1" applyAlignment="1">
      <alignment wrapText="1"/>
    </xf>
    <xf numFmtId="0" fontId="23" fillId="0" borderId="2" xfId="0" applyFont="1" applyBorder="1" applyAlignment="1">
      <alignment wrapText="1"/>
    </xf>
    <xf numFmtId="0" fontId="23" fillId="0" borderId="0" xfId="0" applyFont="1" applyBorder="1" applyAlignment="1">
      <alignment wrapText="1"/>
    </xf>
    <xf numFmtId="0" fontId="23" fillId="0" borderId="20" xfId="0" applyFont="1" applyBorder="1" applyAlignment="1">
      <alignment wrapText="1"/>
    </xf>
    <xf numFmtId="0" fontId="23" fillId="0" borderId="9" xfId="0" applyFont="1" applyBorder="1" applyAlignment="1">
      <alignment wrapText="1"/>
    </xf>
    <xf numFmtId="0" fontId="23" fillId="0" borderId="21" xfId="0" applyFont="1" applyBorder="1" applyAlignment="1">
      <alignment wrapText="1"/>
    </xf>
    <xf numFmtId="0" fontId="23" fillId="0" borderId="10" xfId="0" applyFont="1" applyBorder="1" applyAlignment="1">
      <alignment wrapText="1"/>
    </xf>
    <xf numFmtId="0" fontId="25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right" vertical="center" wrapText="1"/>
    </xf>
    <xf numFmtId="0" fontId="19" fillId="0" borderId="0" xfId="0" applyFont="1" applyBorder="1" applyAlignment="1">
      <alignment horizontal="right" wrapText="1"/>
    </xf>
    <xf numFmtId="0" fontId="19" fillId="0" borderId="0" xfId="0" applyFont="1" applyBorder="1" applyAlignment="1">
      <alignment horizont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left"/>
      <protection locked="0"/>
    </xf>
    <xf numFmtId="169" fontId="9" fillId="6" borderId="0" xfId="0" applyNumberFormat="1" applyFont="1" applyFill="1" applyBorder="1" applyAlignment="1">
      <alignment horizontal="right" vertical="center"/>
    </xf>
    <xf numFmtId="0" fontId="9" fillId="6" borderId="0" xfId="0" applyFont="1" applyFill="1" applyBorder="1" applyAlignment="1">
      <alignment horizontal="right" vertical="center"/>
    </xf>
    <xf numFmtId="0" fontId="9" fillId="6" borderId="0" xfId="0" applyFont="1" applyFill="1" applyBorder="1" applyAlignment="1">
      <alignment horizontal="left" vertical="center"/>
    </xf>
    <xf numFmtId="168" fontId="9" fillId="6" borderId="0" xfId="0" applyNumberFormat="1" applyFont="1" applyFill="1" applyBorder="1" applyAlignment="1">
      <alignment horizontal="right" vertical="center"/>
    </xf>
    <xf numFmtId="168" fontId="9" fillId="7" borderId="0" xfId="0" applyNumberFormat="1" applyFont="1" applyFill="1" applyBorder="1" applyAlignment="1">
      <alignment horizontal="right" vertical="center"/>
    </xf>
    <xf numFmtId="0" fontId="0" fillId="0" borderId="0" xfId="0" applyFill="1" applyBorder="1"/>
    <xf numFmtId="0" fontId="26" fillId="0" borderId="0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right"/>
    </xf>
    <xf numFmtId="0" fontId="15" fillId="0" borderId="0" xfId="0" applyFont="1" applyFill="1" applyBorder="1"/>
    <xf numFmtId="0" fontId="19" fillId="0" borderId="0" xfId="3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>
      <alignment horizontal="left" vertical="top"/>
    </xf>
    <xf numFmtId="0" fontId="23" fillId="0" borderId="0" xfId="0" applyFont="1" applyBorder="1" applyAlignment="1">
      <alignment horizontal="center" wrapText="1"/>
    </xf>
    <xf numFmtId="0" fontId="23" fillId="0" borderId="21" xfId="0" applyFont="1" applyBorder="1" applyAlignment="1">
      <alignment horizontal="center" wrapText="1"/>
    </xf>
    <xf numFmtId="0" fontId="23" fillId="0" borderId="19" xfId="0" applyFont="1" applyBorder="1" applyAlignment="1">
      <alignment horizontal="center" wrapText="1"/>
    </xf>
    <xf numFmtId="0" fontId="23" fillId="0" borderId="20" xfId="0" applyFont="1" applyBorder="1" applyAlignment="1">
      <alignment horizontal="center" wrapText="1"/>
    </xf>
    <xf numFmtId="0" fontId="15" fillId="0" borderId="18" xfId="0" applyFont="1" applyFill="1" applyBorder="1"/>
    <xf numFmtId="0" fontId="0" fillId="0" borderId="18" xfId="0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18" xfId="0" applyBorder="1" applyAlignment="1">
      <alignment horizontal="right"/>
    </xf>
    <xf numFmtId="0" fontId="15" fillId="0" borderId="26" xfId="0" applyFont="1" applyFill="1" applyBorder="1"/>
    <xf numFmtId="0" fontId="0" fillId="0" borderId="26" xfId="0" applyBorder="1"/>
    <xf numFmtId="0" fontId="0" fillId="0" borderId="29" xfId="0" applyBorder="1" applyAlignment="1">
      <alignment horizontal="right"/>
    </xf>
    <xf numFmtId="0" fontId="0" fillId="0" borderId="20" xfId="0" applyFill="1" applyBorder="1"/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15" fillId="0" borderId="32" xfId="0" applyFont="1" applyFill="1" applyBorder="1"/>
    <xf numFmtId="0" fontId="0" fillId="0" borderId="32" xfId="0" applyBorder="1"/>
    <xf numFmtId="0" fontId="0" fillId="0" borderId="33" xfId="0" applyBorder="1"/>
    <xf numFmtId="0" fontId="0" fillId="0" borderId="10" xfId="0" applyFill="1" applyBorder="1"/>
    <xf numFmtId="0" fontId="0" fillId="0" borderId="27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13" borderId="19" xfId="0" applyFill="1" applyBorder="1" applyAlignment="1">
      <alignment horizontal="right"/>
    </xf>
    <xf numFmtId="0" fontId="0" fillId="13" borderId="8" xfId="0" applyFill="1" applyBorder="1" applyAlignment="1">
      <alignment horizontal="right"/>
    </xf>
    <xf numFmtId="0" fontId="0" fillId="13" borderId="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13" borderId="20" xfId="0" applyFill="1" applyBorder="1" applyAlignment="1">
      <alignment horizontal="right"/>
    </xf>
    <xf numFmtId="0" fontId="0" fillId="13" borderId="21" xfId="0" applyFill="1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10" xfId="0" applyBorder="1" applyAlignment="1">
      <alignment horizontal="right"/>
    </xf>
    <xf numFmtId="0" fontId="14" fillId="0" borderId="0" xfId="0" applyFont="1" applyBorder="1" applyAlignment="1">
      <alignment horizontal="left"/>
    </xf>
    <xf numFmtId="0" fontId="24" fillId="0" borderId="0" xfId="1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 wrapText="1"/>
    </xf>
    <xf numFmtId="0" fontId="29" fillId="0" borderId="38" xfId="0" applyFont="1" applyBorder="1" applyAlignment="1">
      <alignment horizontal="right"/>
    </xf>
    <xf numFmtId="0" fontId="17" fillId="0" borderId="38" xfId="0" applyFont="1" applyBorder="1" applyAlignment="1">
      <alignment horizontal="right"/>
    </xf>
    <xf numFmtId="0" fontId="33" fillId="10" borderId="38" xfId="0" applyFont="1" applyFill="1" applyBorder="1" applyAlignment="1">
      <alignment horizontal="right"/>
    </xf>
    <xf numFmtId="0" fontId="34" fillId="0" borderId="0" xfId="0" applyFont="1" applyFill="1" applyBorder="1" applyAlignment="1">
      <alignment horizontal="right"/>
    </xf>
    <xf numFmtId="0" fontId="30" fillId="0" borderId="0" xfId="0" applyFont="1" applyFill="1" applyBorder="1" applyAlignment="1">
      <alignment horizontal="right"/>
    </xf>
    <xf numFmtId="0" fontId="34" fillId="10" borderId="0" xfId="0" applyFont="1" applyFill="1" applyBorder="1" applyAlignment="1">
      <alignment horizontal="right"/>
    </xf>
    <xf numFmtId="0" fontId="18" fillId="0" borderId="24" xfId="0" applyFont="1" applyBorder="1" applyAlignment="1">
      <alignment horizontal="right"/>
    </xf>
    <xf numFmtId="0" fontId="18" fillId="0" borderId="40" xfId="0" applyFont="1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8" xfId="0" applyBorder="1" applyAlignment="1">
      <alignment horizontal="right" wrapText="1"/>
    </xf>
    <xf numFmtId="0" fontId="0" fillId="0" borderId="34" xfId="0" applyBorder="1" applyAlignment="1">
      <alignment horizontal="right" wrapText="1"/>
    </xf>
    <xf numFmtId="0" fontId="10" fillId="0" borderId="2" xfId="0" applyFont="1" applyFill="1" applyBorder="1" applyAlignment="1">
      <alignment horizontal="right" vertical="top"/>
    </xf>
    <xf numFmtId="0" fontId="15" fillId="0" borderId="18" xfId="0" applyFont="1" applyBorder="1" applyAlignment="1">
      <alignment horizontal="right"/>
    </xf>
    <xf numFmtId="0" fontId="19" fillId="0" borderId="18" xfId="3" applyFont="1" applyFill="1" applyBorder="1" applyAlignment="1" applyProtection="1">
      <alignment horizontal="right" vertical="center"/>
    </xf>
    <xf numFmtId="1" fontId="0" fillId="0" borderId="35" xfId="0" applyNumberFormat="1" applyBorder="1" applyAlignment="1">
      <alignment horizontal="right"/>
    </xf>
    <xf numFmtId="0" fontId="26" fillId="0" borderId="2" xfId="0" applyFont="1" applyFill="1" applyBorder="1" applyAlignment="1">
      <alignment horizontal="right" vertical="top"/>
    </xf>
    <xf numFmtId="0" fontId="27" fillId="0" borderId="2" xfId="3" applyFont="1" applyFill="1" applyBorder="1" applyAlignment="1" applyProtection="1">
      <alignment horizontal="right" vertical="top"/>
    </xf>
    <xf numFmtId="0" fontId="10" fillId="0" borderId="9" xfId="0" applyFont="1" applyFill="1" applyBorder="1" applyAlignment="1">
      <alignment horizontal="right" vertical="top"/>
    </xf>
    <xf numFmtId="0" fontId="15" fillId="0" borderId="32" xfId="0" applyFont="1" applyBorder="1" applyAlignment="1">
      <alignment horizontal="right"/>
    </xf>
    <xf numFmtId="0" fontId="19" fillId="0" borderId="32" xfId="3" applyFont="1" applyFill="1" applyBorder="1" applyAlignment="1" applyProtection="1">
      <alignment horizontal="right" vertical="center"/>
    </xf>
    <xf numFmtId="0" fontId="0" fillId="0" borderId="32" xfId="0" applyBorder="1" applyAlignment="1">
      <alignment horizontal="right"/>
    </xf>
    <xf numFmtId="1" fontId="0" fillId="0" borderId="41" xfId="0" applyNumberFormat="1" applyBorder="1" applyAlignment="1">
      <alignment horizontal="right"/>
    </xf>
    <xf numFmtId="0" fontId="21" fillId="0" borderId="0" xfId="0" applyFont="1" applyBorder="1" applyAlignment="1">
      <alignment horizontal="center" vertical="center" wrapText="1"/>
    </xf>
    <xf numFmtId="0" fontId="0" fillId="0" borderId="1" xfId="0" applyBorder="1"/>
    <xf numFmtId="0" fontId="35" fillId="0" borderId="0" xfId="0" applyFont="1"/>
    <xf numFmtId="0" fontId="0" fillId="17" borderId="18" xfId="0" applyFont="1" applyFill="1" applyBorder="1"/>
    <xf numFmtId="0" fontId="39" fillId="0" borderId="0" xfId="0" applyFont="1" applyBorder="1" applyAlignment="1">
      <alignment horizontal="center" vertical="top" wrapText="1"/>
    </xf>
    <xf numFmtId="0" fontId="36" fillId="0" borderId="0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right" vertical="center" wrapText="1"/>
    </xf>
    <xf numFmtId="1" fontId="25" fillId="0" borderId="0" xfId="0" applyNumberFormat="1" applyFont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right"/>
    </xf>
    <xf numFmtId="0" fontId="10" fillId="16" borderId="23" xfId="0" applyFont="1" applyFill="1" applyBorder="1" applyAlignment="1">
      <alignment horizontal="right"/>
    </xf>
    <xf numFmtId="0" fontId="10" fillId="16" borderId="37" xfId="0" applyFont="1" applyFill="1" applyBorder="1" applyAlignment="1">
      <alignment horizontal="right"/>
    </xf>
    <xf numFmtId="0" fontId="0" fillId="17" borderId="23" xfId="0" applyFont="1" applyFill="1" applyBorder="1" applyAlignment="1">
      <alignment horizontal="right"/>
    </xf>
    <xf numFmtId="0" fontId="0" fillId="17" borderId="37" xfId="0" applyFont="1" applyFill="1" applyBorder="1" applyAlignment="1">
      <alignment horizontal="right"/>
    </xf>
    <xf numFmtId="0" fontId="0" fillId="0" borderId="23" xfId="0" applyFont="1" applyBorder="1" applyAlignment="1">
      <alignment horizontal="right"/>
    </xf>
    <xf numFmtId="1" fontId="0" fillId="0" borderId="23" xfId="0" applyNumberFormat="1" applyFont="1" applyBorder="1"/>
    <xf numFmtId="0" fontId="0" fillId="17" borderId="22" xfId="0" applyFont="1" applyFill="1" applyBorder="1" applyAlignment="1">
      <alignment horizontal="right"/>
    </xf>
    <xf numFmtId="0" fontId="0" fillId="17" borderId="22" xfId="0" applyFont="1" applyFill="1" applyBorder="1"/>
    <xf numFmtId="1" fontId="0" fillId="0" borderId="37" xfId="0" applyNumberFormat="1" applyFont="1" applyBorder="1"/>
    <xf numFmtId="0" fontId="20" fillId="0" borderId="0" xfId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0" fillId="0" borderId="2" xfId="1" applyFont="1" applyFill="1" applyBorder="1" applyAlignment="1">
      <alignment horizontal="center" vertical="center" wrapText="1"/>
    </xf>
    <xf numFmtId="0" fontId="0" fillId="12" borderId="18" xfId="0" applyFill="1" applyBorder="1"/>
    <xf numFmtId="0" fontId="23" fillId="17" borderId="22" xfId="0" applyNumberFormat="1" applyFont="1" applyFill="1" applyBorder="1" applyAlignment="1">
      <alignment horizontal="center"/>
    </xf>
    <xf numFmtId="0" fontId="43" fillId="0" borderId="42" xfId="0" applyFont="1" applyBorder="1" applyAlignment="1">
      <alignment horizontal="right" vertical="center"/>
    </xf>
    <xf numFmtId="0" fontId="15" fillId="0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42" fillId="0" borderId="0" xfId="0" applyFont="1" applyBorder="1" applyAlignment="1">
      <alignment vertical="center"/>
    </xf>
    <xf numFmtId="0" fontId="15" fillId="11" borderId="55" xfId="0" applyFont="1" applyFill="1" applyBorder="1" applyAlignment="1">
      <alignment horizontal="right"/>
    </xf>
    <xf numFmtId="0" fontId="15" fillId="11" borderId="54" xfId="0" applyFont="1" applyFill="1" applyBorder="1" applyAlignment="1">
      <alignment horizontal="right"/>
    </xf>
    <xf numFmtId="0" fontId="15" fillId="14" borderId="55" xfId="0" applyFont="1" applyFill="1" applyBorder="1" applyAlignment="1">
      <alignment horizontal="right"/>
    </xf>
    <xf numFmtId="0" fontId="15" fillId="15" borderId="55" xfId="0" applyFont="1" applyFill="1" applyBorder="1" applyAlignment="1">
      <alignment horizontal="right"/>
    </xf>
    <xf numFmtId="0" fontId="15" fillId="11" borderId="10" xfId="0" applyFont="1" applyFill="1" applyBorder="1" applyAlignment="1">
      <alignment horizontal="right"/>
    </xf>
    <xf numFmtId="0" fontId="15" fillId="11" borderId="56" xfId="0" applyFont="1" applyFill="1" applyBorder="1" applyAlignment="1">
      <alignment horizontal="right"/>
    </xf>
    <xf numFmtId="0" fontId="19" fillId="18" borderId="18" xfId="3" applyFont="1" applyFill="1" applyBorder="1" applyAlignment="1" applyProtection="1">
      <alignment horizontal="left" vertical="center"/>
    </xf>
    <xf numFmtId="0" fontId="0" fillId="0" borderId="0" xfId="0" applyFill="1" applyBorder="1" applyAlignment="1">
      <alignment horizontal="left"/>
    </xf>
    <xf numFmtId="0" fontId="19" fillId="18" borderId="18" xfId="3" applyFont="1" applyFill="1" applyBorder="1" applyAlignment="1" applyProtection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19" borderId="18" xfId="0" applyFill="1" applyBorder="1"/>
    <xf numFmtId="0" fontId="23" fillId="17" borderId="18" xfId="0" applyNumberFormat="1" applyFont="1" applyFill="1" applyBorder="1" applyAlignment="1">
      <alignment horizontal="center"/>
    </xf>
    <xf numFmtId="0" fontId="23" fillId="17" borderId="37" xfId="0" applyNumberFormat="1" applyFont="1" applyFill="1" applyBorder="1" applyAlignment="1">
      <alignment horizontal="center"/>
    </xf>
    <xf numFmtId="0" fontId="38" fillId="17" borderId="4" xfId="0" applyNumberFormat="1" applyFont="1" applyFill="1" applyBorder="1" applyAlignment="1">
      <alignment horizontal="center" vertical="center"/>
    </xf>
    <xf numFmtId="0" fontId="38" fillId="17" borderId="18" xfId="0" applyNumberFormat="1" applyFont="1" applyFill="1" applyBorder="1" applyAlignment="1">
      <alignment horizontal="right" vertical="center"/>
    </xf>
    <xf numFmtId="0" fontId="38" fillId="17" borderId="57" xfId="0" applyNumberFormat="1" applyFont="1" applyFill="1" applyBorder="1" applyAlignment="1">
      <alignment horizontal="right" vertical="center"/>
    </xf>
    <xf numFmtId="0" fontId="0" fillId="0" borderId="5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59" xfId="0" applyBorder="1" applyAlignment="1">
      <alignment horizontal="center"/>
    </xf>
    <xf numFmtId="1" fontId="11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0" fontId="0" fillId="0" borderId="0" xfId="0" applyFill="1" applyAlignment="1">
      <alignment horizontal="left"/>
    </xf>
    <xf numFmtId="0" fontId="0" fillId="0" borderId="0" xfId="0" applyFont="1"/>
    <xf numFmtId="0" fontId="26" fillId="8" borderId="5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right" vertical="top"/>
    </xf>
    <xf numFmtId="0" fontId="48" fillId="0" borderId="0" xfId="3" applyFont="1" applyFill="1" applyBorder="1" applyAlignment="1" applyProtection="1">
      <alignment horizontal="right" vertical="top"/>
    </xf>
    <xf numFmtId="0" fontId="12" fillId="0" borderId="0" xfId="0" applyFont="1"/>
    <xf numFmtId="0" fontId="12" fillId="0" borderId="0" xfId="0" applyFont="1" applyAlignment="1">
      <alignment horizontal="right"/>
    </xf>
    <xf numFmtId="49" fontId="0" fillId="0" borderId="29" xfId="0" applyNumberFormat="1" applyBorder="1" applyAlignment="1">
      <alignment horizontal="right"/>
    </xf>
    <xf numFmtId="49" fontId="0" fillId="0" borderId="30" xfId="0" applyNumberFormat="1" applyBorder="1" applyAlignment="1">
      <alignment horizontal="right"/>
    </xf>
    <xf numFmtId="49" fontId="0" fillId="0" borderId="31" xfId="0" applyNumberFormat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11" borderId="10" xfId="0" applyFont="1" applyFill="1" applyBorder="1" applyAlignment="1">
      <alignment horizontal="center"/>
    </xf>
    <xf numFmtId="0" fontId="15" fillId="14" borderId="24" xfId="0" applyFont="1" applyFill="1" applyBorder="1" applyAlignment="1">
      <alignment horizontal="right"/>
    </xf>
    <xf numFmtId="0" fontId="15" fillId="15" borderId="24" xfId="0" applyFont="1" applyFill="1" applyBorder="1" applyAlignment="1">
      <alignment horizontal="right"/>
    </xf>
    <xf numFmtId="0" fontId="15" fillId="11" borderId="43" xfId="0" applyFont="1" applyFill="1" applyBorder="1" applyAlignment="1">
      <alignment horizontal="right"/>
    </xf>
    <xf numFmtId="0" fontId="15" fillId="11" borderId="24" xfId="0" applyFont="1" applyFill="1" applyBorder="1" applyAlignment="1">
      <alignment horizontal="right"/>
    </xf>
    <xf numFmtId="0" fontId="0" fillId="0" borderId="0" xfId="0" applyAlignment="1">
      <alignment horizontal="center" vertical="top" wrapText="1"/>
    </xf>
    <xf numFmtId="0" fontId="15" fillId="11" borderId="43" xfId="0" applyFont="1" applyFill="1" applyBorder="1" applyAlignment="1">
      <alignment horizontal="right"/>
    </xf>
    <xf numFmtId="0" fontId="15" fillId="11" borderId="49" xfId="0" applyFont="1" applyFill="1" applyBorder="1" applyAlignment="1">
      <alignment horizontal="right"/>
    </xf>
    <xf numFmtId="0" fontId="15" fillId="15" borderId="43" xfId="0" applyFont="1" applyFill="1" applyBorder="1" applyAlignment="1">
      <alignment horizontal="right"/>
    </xf>
    <xf numFmtId="0" fontId="15" fillId="14" borderId="43" xfId="0" applyFont="1" applyFill="1" applyBorder="1" applyAlignment="1">
      <alignment horizontal="right"/>
    </xf>
    <xf numFmtId="168" fontId="0" fillId="0" borderId="0" xfId="0" applyNumberFormat="1"/>
    <xf numFmtId="0" fontId="19" fillId="11" borderId="43" xfId="3" applyNumberFormat="1" applyFont="1" applyFill="1" applyBorder="1" applyAlignment="1">
      <alignment horizontal="right" vertical="center"/>
    </xf>
    <xf numFmtId="0" fontId="0" fillId="0" borderId="5" xfId="0" applyBorder="1"/>
    <xf numFmtId="0" fontId="0" fillId="0" borderId="6" xfId="0" applyBorder="1"/>
    <xf numFmtId="0" fontId="0" fillId="0" borderId="46" xfId="0" applyBorder="1"/>
    <xf numFmtId="0" fontId="15" fillId="15" borderId="0" xfId="3" applyNumberFormat="1" applyFont="1" applyFill="1" applyBorder="1" applyAlignment="1">
      <alignment horizontal="right" vertical="center"/>
    </xf>
    <xf numFmtId="0" fontId="15" fillId="11" borderId="45" xfId="0" applyFont="1" applyFill="1" applyBorder="1" applyAlignment="1">
      <alignment horizontal="right"/>
    </xf>
    <xf numFmtId="0" fontId="15" fillId="14" borderId="47" xfId="0" applyFont="1" applyFill="1" applyBorder="1" applyAlignment="1">
      <alignment horizontal="right"/>
    </xf>
    <xf numFmtId="0" fontId="15" fillId="15" borderId="45" xfId="0" applyFont="1" applyFill="1" applyBorder="1" applyAlignment="1">
      <alignment horizontal="right"/>
    </xf>
    <xf numFmtId="0" fontId="15" fillId="15" borderId="25" xfId="0" applyFont="1" applyFill="1" applyBorder="1" applyAlignment="1">
      <alignment horizontal="right"/>
    </xf>
    <xf numFmtId="0" fontId="0" fillId="11" borderId="21" xfId="0" applyFont="1" applyFill="1" applyBorder="1" applyAlignment="1">
      <alignment horizontal="center"/>
    </xf>
    <xf numFmtId="0" fontId="19" fillId="11" borderId="49" xfId="3" applyNumberFormat="1" applyFont="1" applyFill="1" applyBorder="1" applyAlignment="1">
      <alignment horizontal="right" vertical="center"/>
    </xf>
    <xf numFmtId="0" fontId="15" fillId="14" borderId="43" xfId="3" applyNumberFormat="1" applyFont="1" applyFill="1" applyBorder="1" applyAlignment="1">
      <alignment horizontal="right" vertical="center"/>
    </xf>
    <xf numFmtId="0" fontId="15" fillId="15" borderId="43" xfId="3" applyNumberFormat="1" applyFont="1" applyFill="1" applyBorder="1" applyAlignment="1">
      <alignment horizontal="right" vertical="center"/>
    </xf>
    <xf numFmtId="0" fontId="15" fillId="11" borderId="21" xfId="3" applyNumberFormat="1" applyFont="1" applyFill="1" applyBorder="1" applyAlignment="1">
      <alignment horizontal="right" vertical="center"/>
    </xf>
    <xf numFmtId="0" fontId="15" fillId="11" borderId="44" xfId="3" applyNumberFormat="1" applyFont="1" applyFill="1" applyBorder="1" applyAlignment="1">
      <alignment horizontal="right" vertical="center"/>
    </xf>
    <xf numFmtId="0" fontId="15" fillId="11" borderId="43" xfId="3" applyNumberFormat="1" applyFont="1" applyFill="1" applyBorder="1" applyAlignment="1">
      <alignment horizontal="right" vertical="center"/>
    </xf>
    <xf numFmtId="0" fontId="15" fillId="14" borderId="51" xfId="3" applyNumberFormat="1" applyFont="1" applyFill="1" applyBorder="1" applyAlignment="1">
      <alignment horizontal="right" vertical="center"/>
    </xf>
    <xf numFmtId="0" fontId="15" fillId="15" borderId="44" xfId="3" applyNumberFormat="1" applyFont="1" applyFill="1" applyBorder="1" applyAlignment="1">
      <alignment horizontal="right" vertical="center"/>
    </xf>
    <xf numFmtId="0" fontId="0" fillId="0" borderId="21" xfId="0" applyFont="1" applyFill="1" applyBorder="1" applyAlignment="1">
      <alignment horizontal="right"/>
    </xf>
    <xf numFmtId="0" fontId="0" fillId="11" borderId="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/>
    </xf>
    <xf numFmtId="0" fontId="47" fillId="0" borderId="17" xfId="0" applyFont="1" applyBorder="1" applyAlignment="1">
      <alignment horizontal="right" vertical="center" wrapText="1"/>
    </xf>
    <xf numFmtId="0" fontId="15" fillId="11" borderId="21" xfId="0" applyFont="1" applyFill="1" applyBorder="1" applyAlignment="1">
      <alignment horizontal="center"/>
    </xf>
    <xf numFmtId="0" fontId="26" fillId="22" borderId="89" xfId="0" applyFont="1" applyFill="1" applyBorder="1" applyAlignment="1">
      <alignment horizontal="center" wrapText="1"/>
    </xf>
    <xf numFmtId="0" fontId="0" fillId="11" borderId="90" xfId="0" applyFont="1" applyFill="1" applyBorder="1" applyAlignment="1">
      <alignment vertical="center"/>
    </xf>
    <xf numFmtId="0" fontId="0" fillId="11" borderId="91" xfId="0" applyFont="1" applyFill="1" applyBorder="1" applyAlignment="1">
      <alignment vertical="center"/>
    </xf>
    <xf numFmtId="0" fontId="0" fillId="11" borderId="92" xfId="0" applyFont="1" applyFill="1" applyBorder="1" applyAlignment="1">
      <alignment vertical="center"/>
    </xf>
    <xf numFmtId="0" fontId="0" fillId="11" borderId="90" xfId="0" applyFont="1" applyFill="1" applyBorder="1" applyAlignment="1">
      <alignment horizontal="center" vertical="center"/>
    </xf>
    <xf numFmtId="0" fontId="0" fillId="11" borderId="91" xfId="0" applyFont="1" applyFill="1" applyBorder="1" applyAlignment="1">
      <alignment horizontal="center" vertical="center"/>
    </xf>
    <xf numFmtId="0" fontId="0" fillId="11" borderId="92" xfId="0" applyFont="1" applyFill="1" applyBorder="1" applyAlignment="1">
      <alignment horizontal="center" vertical="center"/>
    </xf>
    <xf numFmtId="0" fontId="15" fillId="11" borderId="93" xfId="0" applyFont="1" applyFill="1" applyBorder="1" applyAlignment="1">
      <alignment horizontal="right"/>
    </xf>
    <xf numFmtId="0" fontId="0" fillId="0" borderId="94" xfId="0" applyBorder="1" applyAlignment="1">
      <alignment vertical="center"/>
    </xf>
    <xf numFmtId="0" fontId="0" fillId="11" borderId="95" xfId="0" applyFont="1" applyFill="1" applyBorder="1" applyAlignment="1">
      <alignment vertical="center"/>
    </xf>
    <xf numFmtId="0" fontId="26" fillId="0" borderId="8" xfId="0" applyFont="1" applyBorder="1" applyAlignment="1">
      <alignment horizontal="center" vertical="center" wrapText="1"/>
    </xf>
    <xf numFmtId="0" fontId="0" fillId="11" borderId="2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15" fillId="11" borderId="46" xfId="0" applyFont="1" applyFill="1" applyBorder="1" applyAlignment="1">
      <alignment horizontal="right"/>
    </xf>
    <xf numFmtId="0" fontId="0" fillId="11" borderId="21" xfId="0" applyFont="1" applyFill="1" applyBorder="1" applyAlignment="1">
      <alignment horizontal="right"/>
    </xf>
    <xf numFmtId="0" fontId="0" fillId="11" borderId="10" xfId="0" applyFont="1" applyFill="1" applyBorder="1" applyAlignment="1">
      <alignment horizontal="right"/>
    </xf>
    <xf numFmtId="14" fontId="0" fillId="0" borderId="0" xfId="0" applyNumberFormat="1" applyBorder="1" applyAlignment="1">
      <alignment horizontal="center"/>
    </xf>
    <xf numFmtId="0" fontId="15" fillId="11" borderId="0" xfId="3" applyNumberFormat="1" applyFont="1" applyFill="1" applyBorder="1" applyAlignment="1">
      <alignment horizontal="right" vertical="center"/>
    </xf>
    <xf numFmtId="0" fontId="15" fillId="11" borderId="99" xfId="0" applyFont="1" applyFill="1" applyBorder="1" applyAlignment="1">
      <alignment horizontal="right"/>
    </xf>
    <xf numFmtId="0" fontId="15" fillId="11" borderId="97" xfId="0" applyFont="1" applyFill="1" applyBorder="1" applyAlignment="1">
      <alignment horizontal="right"/>
    </xf>
    <xf numFmtId="0" fontId="15" fillId="14" borderId="97" xfId="0" applyFont="1" applyFill="1" applyBorder="1" applyAlignment="1">
      <alignment horizontal="right"/>
    </xf>
    <xf numFmtId="0" fontId="15" fillId="15" borderId="97" xfId="0" applyFont="1" applyFill="1" applyBorder="1" applyAlignment="1">
      <alignment horizontal="right"/>
    </xf>
    <xf numFmtId="0" fontId="47" fillId="11" borderId="100" xfId="0" applyFont="1" applyFill="1" applyBorder="1" applyAlignment="1">
      <alignment horizontal="right"/>
    </xf>
    <xf numFmtId="0" fontId="15" fillId="11" borderId="101" xfId="0" applyFont="1" applyFill="1" applyBorder="1" applyAlignment="1">
      <alignment horizontal="right"/>
    </xf>
    <xf numFmtId="0" fontId="15" fillId="14" borderId="102" xfId="0" applyFont="1" applyFill="1" applyBorder="1" applyAlignment="1">
      <alignment horizontal="right"/>
    </xf>
    <xf numFmtId="0" fontId="15" fillId="15" borderId="101" xfId="0" applyFont="1" applyFill="1" applyBorder="1" applyAlignment="1">
      <alignment horizontal="right"/>
    </xf>
    <xf numFmtId="0" fontId="15" fillId="15" borderId="102" xfId="0" applyFont="1" applyFill="1" applyBorder="1" applyAlignment="1">
      <alignment horizontal="right"/>
    </xf>
    <xf numFmtId="0" fontId="15" fillId="11" borderId="103" xfId="0" applyFont="1" applyFill="1" applyBorder="1" applyAlignment="1">
      <alignment horizontal="right"/>
    </xf>
    <xf numFmtId="0" fontId="19" fillId="11" borderId="63" xfId="3" applyNumberFormat="1" applyFont="1" applyFill="1" applyBorder="1" applyAlignment="1">
      <alignment horizontal="right" vertical="center"/>
    </xf>
    <xf numFmtId="0" fontId="19" fillId="11" borderId="62" xfId="3" applyNumberFormat="1" applyFont="1" applyFill="1" applyBorder="1" applyAlignment="1">
      <alignment horizontal="right" vertical="center"/>
    </xf>
    <xf numFmtId="0" fontId="54" fillId="20" borderId="106" xfId="0" applyFont="1" applyFill="1" applyBorder="1" applyAlignment="1">
      <alignment horizontal="center" vertical="center" wrapText="1"/>
    </xf>
    <xf numFmtId="0" fontId="42" fillId="20" borderId="108" xfId="0" applyFont="1" applyFill="1" applyBorder="1" applyAlignment="1">
      <alignment horizontal="right" vertical="center" wrapText="1"/>
    </xf>
    <xf numFmtId="0" fontId="15" fillId="11" borderId="21" xfId="0" applyFont="1" applyFill="1" applyBorder="1" applyAlignment="1">
      <alignment horizontal="right"/>
    </xf>
    <xf numFmtId="0" fontId="0" fillId="11" borderId="109" xfId="0" applyFont="1" applyFill="1" applyBorder="1" applyAlignment="1">
      <alignment vertical="center"/>
    </xf>
    <xf numFmtId="0" fontId="0" fillId="11" borderId="74" xfId="0" applyFont="1" applyFill="1" applyBorder="1" applyAlignment="1">
      <alignment vertical="center"/>
    </xf>
    <xf numFmtId="0" fontId="0" fillId="11" borderId="110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46" xfId="0" applyBorder="1" applyAlignment="1">
      <alignment vertical="center"/>
    </xf>
    <xf numFmtId="0" fontId="15" fillId="11" borderId="44" xfId="0" applyFont="1" applyFill="1" applyBorder="1" applyAlignment="1">
      <alignment horizontal="right"/>
    </xf>
    <xf numFmtId="0" fontId="15" fillId="14" borderId="51" xfId="0" applyFont="1" applyFill="1" applyBorder="1" applyAlignment="1">
      <alignment horizontal="right"/>
    </xf>
    <xf numFmtId="0" fontId="15" fillId="15" borderId="44" xfId="0" applyFont="1" applyFill="1" applyBorder="1" applyAlignment="1">
      <alignment horizontal="right"/>
    </xf>
    <xf numFmtId="0" fontId="15" fillId="15" borderId="0" xfId="0" applyFont="1" applyFill="1" applyBorder="1" applyAlignment="1">
      <alignment horizontal="right"/>
    </xf>
    <xf numFmtId="0" fontId="15" fillId="11" borderId="77" xfId="0" applyFont="1" applyFill="1" applyBorder="1" applyAlignment="1">
      <alignment horizontal="right"/>
    </xf>
    <xf numFmtId="0" fontId="0" fillId="11" borderId="78" xfId="0" applyFont="1" applyFill="1" applyBorder="1" applyAlignment="1">
      <alignment vertical="center"/>
    </xf>
    <xf numFmtId="0" fontId="0" fillId="23" borderId="62" xfId="0" applyFill="1" applyBorder="1" applyAlignment="1">
      <alignment horizontal="right"/>
    </xf>
    <xf numFmtId="0" fontId="19" fillId="24" borderId="62" xfId="3" applyNumberFormat="1" applyFont="1" applyFill="1" applyBorder="1" applyAlignment="1">
      <alignment horizontal="right" vertical="center"/>
    </xf>
    <xf numFmtId="0" fontId="0" fillId="11" borderId="7" xfId="0" applyFont="1" applyFill="1" applyBorder="1" applyAlignment="1">
      <alignment vertical="center"/>
    </xf>
    <xf numFmtId="0" fontId="0" fillId="11" borderId="2" xfId="0" applyFont="1" applyFill="1" applyBorder="1" applyAlignment="1">
      <alignment vertical="center"/>
    </xf>
    <xf numFmtId="0" fontId="0" fillId="11" borderId="9" xfId="0" applyFont="1" applyFill="1" applyBorder="1" applyAlignment="1">
      <alignment vertical="center"/>
    </xf>
    <xf numFmtId="0" fontId="0" fillId="11" borderId="46" xfId="0" applyFont="1" applyFill="1" applyBorder="1" applyAlignment="1">
      <alignment vertical="center"/>
    </xf>
    <xf numFmtId="0" fontId="0" fillId="11" borderId="5" xfId="0" applyFont="1" applyFill="1" applyBorder="1" applyAlignment="1">
      <alignment horizontal="center" vertical="center" wrapText="1"/>
    </xf>
    <xf numFmtId="0" fontId="15" fillId="11" borderId="6" xfId="0" applyFont="1" applyFill="1" applyBorder="1" applyAlignment="1">
      <alignment horizontal="center" vertical="center"/>
    </xf>
    <xf numFmtId="0" fontId="0" fillId="11" borderId="8" xfId="0" applyFont="1" applyFill="1" applyBorder="1" applyAlignment="1">
      <alignment horizontal="center" vertical="center" wrapText="1"/>
    </xf>
    <xf numFmtId="0" fontId="0" fillId="11" borderId="20" xfId="0" applyFont="1" applyFill="1" applyBorder="1" applyAlignment="1">
      <alignment horizontal="center" vertical="center" wrapText="1"/>
    </xf>
    <xf numFmtId="0" fontId="56" fillId="0" borderId="17" xfId="0" applyFont="1" applyFill="1" applyBorder="1"/>
    <xf numFmtId="0" fontId="57" fillId="0" borderId="18" xfId="0" applyFont="1" applyBorder="1" applyAlignment="1">
      <alignment horizontal="left"/>
    </xf>
    <xf numFmtId="0" fontId="58" fillId="0" borderId="18" xfId="0" applyFont="1" applyBorder="1" applyAlignment="1">
      <alignment horizontal="left"/>
    </xf>
    <xf numFmtId="0" fontId="57" fillId="0" borderId="18" xfId="0" applyFont="1" applyBorder="1" applyAlignment="1">
      <alignment horizontal="right"/>
    </xf>
    <xf numFmtId="0" fontId="11" fillId="0" borderId="18" xfId="0" applyFont="1" applyBorder="1"/>
    <xf numFmtId="0" fontId="15" fillId="24" borderId="43" xfId="0" applyFont="1" applyFill="1" applyBorder="1" applyAlignment="1">
      <alignment horizontal="right"/>
    </xf>
    <xf numFmtId="0" fontId="0" fillId="12" borderId="0" xfId="0" applyFill="1"/>
    <xf numFmtId="0" fontId="0" fillId="0" borderId="0" xfId="0" applyAlignment="1">
      <alignment horizontal="right" wrapText="1"/>
    </xf>
    <xf numFmtId="0" fontId="59" fillId="25" borderId="0" xfId="0" applyFont="1" applyFill="1"/>
    <xf numFmtId="0" fontId="60" fillId="0" borderId="42" xfId="0" applyFont="1" applyBorder="1" applyAlignment="1">
      <alignment horizontal="right" vertical="center"/>
    </xf>
    <xf numFmtId="0" fontId="60" fillId="0" borderId="42" xfId="0" applyFont="1" applyBorder="1" applyAlignment="1">
      <alignment horizontal="right" vertical="center" wrapText="1"/>
    </xf>
    <xf numFmtId="0" fontId="25" fillId="23" borderId="62" xfId="0" applyFont="1" applyFill="1" applyBorder="1" applyAlignment="1">
      <alignment horizontal="right"/>
    </xf>
    <xf numFmtId="0" fontId="19" fillId="14" borderId="62" xfId="3" applyNumberFormat="1" applyFont="1" applyFill="1" applyBorder="1" applyAlignment="1">
      <alignment horizontal="right" vertical="center"/>
    </xf>
    <xf numFmtId="0" fontId="19" fillId="15" borderId="62" xfId="3" applyNumberFormat="1" applyFont="1" applyFill="1" applyBorder="1" applyAlignment="1">
      <alignment horizontal="right" vertical="center"/>
    </xf>
    <xf numFmtId="0" fontId="62" fillId="11" borderId="64" xfId="3" applyNumberFormat="1" applyFont="1" applyFill="1" applyBorder="1" applyAlignment="1">
      <alignment horizontal="right" vertical="center"/>
    </xf>
    <xf numFmtId="0" fontId="19" fillId="11" borderId="65" xfId="3" applyNumberFormat="1" applyFont="1" applyFill="1" applyBorder="1" applyAlignment="1">
      <alignment horizontal="right" vertical="center"/>
    </xf>
    <xf numFmtId="0" fontId="19" fillId="14" borderId="66" xfId="3" applyNumberFormat="1" applyFont="1" applyFill="1" applyBorder="1" applyAlignment="1">
      <alignment horizontal="right" vertical="center"/>
    </xf>
    <xf numFmtId="0" fontId="19" fillId="15" borderId="65" xfId="3" applyNumberFormat="1" applyFont="1" applyFill="1" applyBorder="1" applyAlignment="1">
      <alignment horizontal="right" vertical="center"/>
    </xf>
    <xf numFmtId="0" fontId="19" fillId="15" borderId="104" xfId="3" applyNumberFormat="1" applyFont="1" applyFill="1" applyBorder="1" applyAlignment="1">
      <alignment horizontal="right" vertical="center"/>
    </xf>
    <xf numFmtId="0" fontId="62" fillId="11" borderId="67" xfId="3" applyNumberFormat="1" applyFont="1" applyFill="1" applyBorder="1" applyAlignment="1">
      <alignment horizontal="right" vertical="center"/>
    </xf>
    <xf numFmtId="0" fontId="15" fillId="11" borderId="101" xfId="0" applyFont="1" applyFill="1" applyBorder="1" applyAlignment="1">
      <alignment horizontal="left"/>
    </xf>
    <xf numFmtId="0" fontId="15" fillId="23" borderId="97" xfId="0" applyFont="1" applyFill="1" applyBorder="1" applyAlignment="1">
      <alignment horizontal="left"/>
    </xf>
    <xf numFmtId="0" fontId="41" fillId="24" borderId="97" xfId="0" applyFont="1" applyFill="1" applyBorder="1" applyAlignment="1">
      <alignment horizontal="left" vertical="top"/>
    </xf>
    <xf numFmtId="0" fontId="15" fillId="11" borderId="98" xfId="0" applyFont="1" applyFill="1" applyBorder="1" applyAlignment="1">
      <alignment horizontal="left"/>
    </xf>
    <xf numFmtId="0" fontId="9" fillId="0" borderId="18" xfId="3" applyFont="1" applyFill="1" applyBorder="1" applyAlignment="1" applyProtection="1">
      <alignment horizontal="right" vertical="center"/>
    </xf>
    <xf numFmtId="0" fontId="61" fillId="0" borderId="18" xfId="0" applyFont="1" applyFill="1" applyBorder="1" applyAlignment="1">
      <alignment horizontal="right"/>
    </xf>
    <xf numFmtId="0" fontId="63" fillId="0" borderId="0" xfId="0" applyFont="1" applyAlignment="1">
      <alignment horizontal="left"/>
    </xf>
    <xf numFmtId="0" fontId="28" fillId="0" borderId="0" xfId="20" applyAlignment="1">
      <alignment vertical="top"/>
    </xf>
    <xf numFmtId="0" fontId="0" fillId="0" borderId="7" xfId="0" applyBorder="1" applyAlignment="1">
      <alignment horizontal="right"/>
    </xf>
    <xf numFmtId="0" fontId="40" fillId="0" borderId="0" xfId="0" applyFont="1" applyAlignment="1">
      <alignment horizontal="right" wrapText="1"/>
    </xf>
    <xf numFmtId="0" fontId="21" fillId="0" borderId="0" xfId="0" applyFont="1" applyBorder="1" applyAlignment="1">
      <alignment horizontal="center" wrapText="1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42" fillId="20" borderId="107" xfId="0" applyFont="1" applyFill="1" applyBorder="1" applyAlignment="1">
      <alignment horizontal="center" vertical="center" wrapText="1"/>
    </xf>
    <xf numFmtId="0" fontId="42" fillId="20" borderId="105" xfId="0" applyFont="1" applyFill="1" applyBorder="1" applyAlignment="1">
      <alignment horizontal="center" vertical="center"/>
    </xf>
    <xf numFmtId="0" fontId="15" fillId="11" borderId="43" xfId="0" applyFont="1" applyFill="1" applyBorder="1" applyAlignment="1">
      <alignment horizontal="left"/>
    </xf>
    <xf numFmtId="0" fontId="15" fillId="11" borderId="71" xfId="0" applyFont="1" applyFill="1" applyBorder="1" applyAlignment="1">
      <alignment horizontal="left"/>
    </xf>
    <xf numFmtId="0" fontId="15" fillId="11" borderId="49" xfId="0" applyFont="1" applyFill="1" applyBorder="1" applyAlignment="1">
      <alignment horizontal="left"/>
    </xf>
    <xf numFmtId="0" fontId="15" fillId="11" borderId="72" xfId="0" applyFont="1" applyFill="1" applyBorder="1" applyAlignment="1">
      <alignment horizontal="left"/>
    </xf>
    <xf numFmtId="0" fontId="15" fillId="11" borderId="43" xfId="0" applyFont="1" applyFill="1" applyBorder="1" applyAlignment="1">
      <alignment horizontal="right"/>
    </xf>
    <xf numFmtId="0" fontId="15" fillId="11" borderId="71" xfId="0" applyFont="1" applyFill="1" applyBorder="1" applyAlignment="1">
      <alignment horizontal="right"/>
    </xf>
    <xf numFmtId="0" fontId="15" fillId="11" borderId="69" xfId="0" applyFont="1" applyFill="1" applyBorder="1" applyAlignment="1">
      <alignment horizontal="left"/>
    </xf>
    <xf numFmtId="0" fontId="15" fillId="11" borderId="70" xfId="0" applyFont="1" applyFill="1" applyBorder="1" applyAlignment="1">
      <alignment horizontal="left"/>
    </xf>
    <xf numFmtId="0" fontId="0" fillId="11" borderId="77" xfId="0" applyFont="1" applyFill="1" applyBorder="1" applyAlignment="1">
      <alignment horizontal="center"/>
    </xf>
    <xf numFmtId="0" fontId="0" fillId="11" borderId="78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right"/>
    </xf>
    <xf numFmtId="0" fontId="0" fillId="11" borderId="10" xfId="0" applyFont="1" applyFill="1" applyBorder="1" applyAlignment="1">
      <alignment horizontal="right"/>
    </xf>
    <xf numFmtId="0" fontId="38" fillId="17" borderId="60" xfId="0" applyNumberFormat="1" applyFont="1" applyFill="1" applyBorder="1" applyAlignment="1">
      <alignment horizontal="center" vertical="center"/>
    </xf>
    <xf numFmtId="0" fontId="38" fillId="17" borderId="50" xfId="0" applyNumberFormat="1" applyFont="1" applyFill="1" applyBorder="1" applyAlignment="1">
      <alignment horizontal="center" vertical="center"/>
    </xf>
    <xf numFmtId="0" fontId="38" fillId="17" borderId="40" xfId="0" applyNumberFormat="1" applyFont="1" applyFill="1" applyBorder="1" applyAlignment="1">
      <alignment horizontal="center" vertical="center"/>
    </xf>
    <xf numFmtId="0" fontId="0" fillId="14" borderId="43" xfId="0" applyFont="1" applyFill="1" applyBorder="1" applyAlignment="1">
      <alignment horizontal="center"/>
    </xf>
    <xf numFmtId="0" fontId="0" fillId="14" borderId="71" xfId="0" applyFont="1" applyFill="1" applyBorder="1" applyAlignment="1">
      <alignment horizontal="center"/>
    </xf>
    <xf numFmtId="0" fontId="31" fillId="10" borderId="7" xfId="1" applyFont="1" applyFill="1" applyBorder="1" applyAlignment="1">
      <alignment horizontal="center" vertical="center" wrapText="1"/>
    </xf>
    <xf numFmtId="0" fontId="31" fillId="10" borderId="8" xfId="1" applyFont="1" applyFill="1" applyBorder="1" applyAlignment="1">
      <alignment horizontal="center" vertical="center" wrapText="1"/>
    </xf>
    <xf numFmtId="0" fontId="31" fillId="10" borderId="9" xfId="1" applyFont="1" applyFill="1" applyBorder="1" applyAlignment="1">
      <alignment horizontal="center" vertical="center" wrapText="1"/>
    </xf>
    <xf numFmtId="0" fontId="31" fillId="10" borderId="10" xfId="1" applyFont="1" applyFill="1" applyBorder="1" applyAlignment="1">
      <alignment horizontal="center" vertical="center" wrapText="1"/>
    </xf>
    <xf numFmtId="0" fontId="15" fillId="24" borderId="97" xfId="0" applyFont="1" applyFill="1" applyBorder="1" applyAlignment="1">
      <alignment horizontal="left"/>
    </xf>
    <xf numFmtId="0" fontId="15" fillId="24" borderId="43" xfId="0" applyFont="1" applyFill="1" applyBorder="1" applyAlignment="1">
      <alignment horizontal="left"/>
    </xf>
    <xf numFmtId="0" fontId="15" fillId="24" borderId="71" xfId="0" applyFont="1" applyFill="1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23" fillId="0" borderId="2" xfId="0" applyFont="1" applyBorder="1" applyAlignment="1">
      <alignment horizontal="center" wrapText="1"/>
    </xf>
    <xf numFmtId="0" fontId="42" fillId="20" borderId="82" xfId="0" applyFont="1" applyFill="1" applyBorder="1" applyAlignment="1">
      <alignment horizontal="center" vertical="center" wrapText="1"/>
    </xf>
    <xf numFmtId="0" fontId="42" fillId="20" borderId="84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wrapText="1"/>
    </xf>
    <xf numFmtId="0" fontId="37" fillId="0" borderId="20" xfId="0" applyFont="1" applyBorder="1" applyAlignment="1">
      <alignment horizontal="center" vertical="top" wrapText="1"/>
    </xf>
    <xf numFmtId="0" fontId="23" fillId="0" borderId="21" xfId="0" applyFont="1" applyBorder="1" applyAlignment="1">
      <alignment horizontal="center" wrapText="1"/>
    </xf>
    <xf numFmtId="0" fontId="23" fillId="0" borderId="19" xfId="0" applyFont="1" applyBorder="1" applyAlignment="1">
      <alignment horizontal="center" vertical="top" wrapText="1"/>
    </xf>
    <xf numFmtId="0" fontId="23" fillId="0" borderId="0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right" vertical="center" wrapText="1"/>
    </xf>
    <xf numFmtId="0" fontId="26" fillId="0" borderId="17" xfId="0" applyFont="1" applyBorder="1" applyAlignment="1">
      <alignment horizontal="right" vertical="center" wrapText="1"/>
    </xf>
    <xf numFmtId="0" fontId="40" fillId="11" borderId="7" xfId="0" applyFont="1" applyFill="1" applyBorder="1" applyAlignment="1">
      <alignment horizontal="center" vertical="center" wrapText="1"/>
    </xf>
    <xf numFmtId="0" fontId="40" fillId="11" borderId="2" xfId="0" applyFont="1" applyFill="1" applyBorder="1" applyAlignment="1">
      <alignment horizontal="center" vertical="center"/>
    </xf>
    <xf numFmtId="0" fontId="40" fillId="11" borderId="2" xfId="0" applyFont="1" applyFill="1" applyBorder="1" applyAlignment="1">
      <alignment horizontal="center" wrapText="1"/>
    </xf>
    <xf numFmtId="0" fontId="40" fillId="11" borderId="2" xfId="0" applyFont="1" applyFill="1" applyBorder="1" applyAlignment="1">
      <alignment horizontal="center" vertical="center" wrapText="1"/>
    </xf>
    <xf numFmtId="0" fontId="40" fillId="11" borderId="9" xfId="0" applyFont="1" applyFill="1" applyBorder="1" applyAlignment="1">
      <alignment horizontal="center" vertical="center" wrapText="1"/>
    </xf>
    <xf numFmtId="0" fontId="16" fillId="8" borderId="53" xfId="0" applyFont="1" applyFill="1" applyBorder="1" applyAlignment="1">
      <alignment horizontal="center" vertical="center" wrapText="1"/>
    </xf>
    <xf numFmtId="0" fontId="16" fillId="8" borderId="52" xfId="0" applyFont="1" applyFill="1" applyBorder="1" applyAlignment="1">
      <alignment horizontal="center" vertical="center" wrapText="1"/>
    </xf>
    <xf numFmtId="0" fontId="16" fillId="8" borderId="48" xfId="0" applyFont="1" applyFill="1" applyBorder="1" applyAlignment="1">
      <alignment horizontal="center" vertical="center" wrapText="1"/>
    </xf>
    <xf numFmtId="0" fontId="0" fillId="14" borderId="2" xfId="0" applyFont="1" applyFill="1" applyBorder="1" applyAlignment="1">
      <alignment horizontal="center" vertical="center" wrapText="1"/>
    </xf>
    <xf numFmtId="0" fontId="0" fillId="14" borderId="2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 wrapText="1"/>
    </xf>
    <xf numFmtId="0" fontId="0" fillId="15" borderId="2" xfId="0" applyFont="1" applyFill="1" applyBorder="1" applyAlignment="1">
      <alignment horizontal="center" vertical="center"/>
    </xf>
    <xf numFmtId="0" fontId="15" fillId="15" borderId="51" xfId="0" applyFont="1" applyFill="1" applyBorder="1" applyAlignment="1">
      <alignment horizontal="right" vertical="center"/>
    </xf>
    <xf numFmtId="0" fontId="15" fillId="15" borderId="73" xfId="0" applyFont="1" applyFill="1" applyBorder="1" applyAlignment="1">
      <alignment horizontal="right" vertical="center"/>
    </xf>
    <xf numFmtId="0" fontId="15" fillId="15" borderId="0" xfId="0" applyFont="1" applyFill="1" applyBorder="1" applyAlignment="1">
      <alignment horizontal="right" vertical="center"/>
    </xf>
    <xf numFmtId="0" fontId="15" fillId="15" borderId="74" xfId="0" applyFont="1" applyFill="1" applyBorder="1" applyAlignment="1">
      <alignment horizontal="right" vertical="center"/>
    </xf>
    <xf numFmtId="0" fontId="15" fillId="15" borderId="44" xfId="0" applyFont="1" applyFill="1" applyBorder="1" applyAlignment="1">
      <alignment horizontal="right" vertical="center"/>
    </xf>
    <xf numFmtId="0" fontId="15" fillId="15" borderId="75" xfId="0" applyFont="1" applyFill="1" applyBorder="1" applyAlignment="1">
      <alignment horizontal="right" vertical="center"/>
    </xf>
    <xf numFmtId="0" fontId="0" fillId="14" borderId="51" xfId="0" applyFont="1" applyFill="1" applyBorder="1" applyAlignment="1">
      <alignment horizontal="center"/>
    </xf>
    <xf numFmtId="0" fontId="0" fillId="14" borderId="73" xfId="0" applyFont="1" applyFill="1" applyBorder="1" applyAlignment="1">
      <alignment horizontal="center"/>
    </xf>
    <xf numFmtId="0" fontId="15" fillId="15" borderId="43" xfId="0" applyFont="1" applyFill="1" applyBorder="1" applyAlignment="1">
      <alignment horizontal="right"/>
    </xf>
    <xf numFmtId="0" fontId="15" fillId="15" borderId="71" xfId="0" applyFont="1" applyFill="1" applyBorder="1" applyAlignment="1">
      <alignment horizontal="right"/>
    </xf>
    <xf numFmtId="0" fontId="0" fillId="11" borderId="1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15" fillId="14" borderId="43" xfId="0" applyFont="1" applyFill="1" applyBorder="1" applyAlignment="1">
      <alignment horizontal="right"/>
    </xf>
    <xf numFmtId="0" fontId="15" fillId="14" borderId="71" xfId="0" applyFont="1" applyFill="1" applyBorder="1" applyAlignment="1">
      <alignment horizontal="right"/>
    </xf>
    <xf numFmtId="0" fontId="0" fillId="11" borderId="50" xfId="0" applyFont="1" applyFill="1" applyBorder="1" applyAlignment="1">
      <alignment horizontal="center"/>
    </xf>
    <xf numFmtId="0" fontId="0" fillId="11" borderId="76" xfId="0" applyFont="1" applyFill="1" applyBorder="1" applyAlignment="1">
      <alignment horizontal="center"/>
    </xf>
    <xf numFmtId="0" fontId="15" fillId="11" borderId="49" xfId="0" applyFont="1" applyFill="1" applyBorder="1" applyAlignment="1">
      <alignment horizontal="right"/>
    </xf>
    <xf numFmtId="0" fontId="15" fillId="11" borderId="72" xfId="0" applyFont="1" applyFill="1" applyBorder="1" applyAlignment="1">
      <alignment horizontal="right"/>
    </xf>
    <xf numFmtId="0" fontId="54" fillId="20" borderId="83" xfId="0" applyFont="1" applyFill="1" applyBorder="1" applyAlignment="1">
      <alignment horizontal="center" vertical="center" wrapText="1"/>
    </xf>
    <xf numFmtId="0" fontId="54" fillId="20" borderId="19" xfId="0" applyFont="1" applyFill="1" applyBorder="1" applyAlignment="1">
      <alignment horizontal="center" vertical="center"/>
    </xf>
    <xf numFmtId="0" fontId="45" fillId="21" borderId="86" xfId="0" applyFont="1" applyFill="1" applyBorder="1" applyAlignment="1">
      <alignment horizontal="center" vertical="center" wrapText="1"/>
    </xf>
    <xf numFmtId="0" fontId="45" fillId="21" borderId="0" xfId="0" applyFont="1" applyFill="1" applyBorder="1" applyAlignment="1">
      <alignment horizontal="center" vertical="center"/>
    </xf>
    <xf numFmtId="0" fontId="45" fillId="21" borderId="86" xfId="0" applyFont="1" applyFill="1" applyBorder="1" applyAlignment="1">
      <alignment horizontal="center" vertical="center"/>
    </xf>
    <xf numFmtId="0" fontId="45" fillId="21" borderId="87" xfId="0" applyFont="1" applyFill="1" applyBorder="1" applyAlignment="1">
      <alignment horizontal="center" vertical="center"/>
    </xf>
    <xf numFmtId="0" fontId="26" fillId="0" borderId="61" xfId="0" applyFont="1" applyBorder="1" applyAlignment="1">
      <alignment horizontal="center" vertical="center" wrapText="1"/>
    </xf>
    <xf numFmtId="0" fontId="26" fillId="0" borderId="62" xfId="0" applyFont="1" applyBorder="1" applyAlignment="1">
      <alignment horizontal="center" vertical="center" wrapText="1"/>
    </xf>
    <xf numFmtId="0" fontId="26" fillId="0" borderId="68" xfId="0" applyFont="1" applyBorder="1" applyAlignment="1">
      <alignment horizontal="center" vertical="center" wrapText="1"/>
    </xf>
    <xf numFmtId="0" fontId="26" fillId="0" borderId="88" xfId="0" applyFont="1" applyBorder="1" applyAlignment="1">
      <alignment horizontal="right" vertical="center" wrapText="1"/>
    </xf>
    <xf numFmtId="0" fontId="26" fillId="0" borderId="8" xfId="0" applyFont="1" applyBorder="1" applyAlignment="1">
      <alignment horizontal="right" vertical="center" wrapText="1"/>
    </xf>
    <xf numFmtId="0" fontId="26" fillId="0" borderId="79" xfId="0" applyFont="1" applyBorder="1" applyAlignment="1">
      <alignment horizontal="center" vertical="center" wrapText="1"/>
    </xf>
    <xf numFmtId="0" fontId="26" fillId="0" borderId="80" xfId="0" applyFont="1" applyBorder="1" applyAlignment="1">
      <alignment horizontal="center" vertical="center" wrapText="1"/>
    </xf>
    <xf numFmtId="0" fontId="26" fillId="0" borderId="81" xfId="0" applyFont="1" applyBorder="1" applyAlignment="1">
      <alignment horizontal="center" vertical="center" wrapText="1"/>
    </xf>
    <xf numFmtId="0" fontId="45" fillId="21" borderId="85" xfId="0" applyFont="1" applyFill="1" applyBorder="1" applyAlignment="1">
      <alignment horizontal="center" vertical="center" wrapText="1"/>
    </xf>
    <xf numFmtId="0" fontId="45" fillId="21" borderId="9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21">
    <cellStyle name="Hyperlink" xfId="20" builtinId="8"/>
    <cellStyle name="Normal" xfId="0" builtinId="0"/>
    <cellStyle name="Normal 10" xfId="13"/>
    <cellStyle name="Normal 11" xfId="15"/>
    <cellStyle name="Normal 12" xfId="17"/>
    <cellStyle name="Normal 13" xfId="19"/>
    <cellStyle name="Normal 14" xfId="1"/>
    <cellStyle name="Normal 2" xfId="2"/>
    <cellStyle name="Normal 3" xfId="4"/>
    <cellStyle name="Normal 4" xfId="5"/>
    <cellStyle name="Normal 5" xfId="3"/>
    <cellStyle name="Normal 5 2" xfId="6"/>
    <cellStyle name="Normal 5 3" xfId="8"/>
    <cellStyle name="Normal 5 4" xfId="16"/>
    <cellStyle name="Normal 5 5" xfId="18"/>
    <cellStyle name="Normal 6" xfId="7"/>
    <cellStyle name="Normal 7" xfId="9"/>
    <cellStyle name="Normal 8" xfId="10"/>
    <cellStyle name="Normal 9" xfId="12"/>
    <cellStyle name="Percent 2" xfId="14"/>
    <cellStyle name="Percent 3" xfId="11"/>
  </cellStyles>
  <dxfs count="63"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  <dxf>
      <alignment horizontal="right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gray125"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gradientFill type="path" left="0.5" right="0.5" top="0.5" bottom="0.5">
          <stop position="0">
            <color rgb="FFCCFFCC"/>
          </stop>
          <stop position="1">
            <color rgb="FF00B0F0"/>
          </stop>
        </gradient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FF"/>
        </patternFill>
      </fill>
    </dxf>
    <dxf>
      <font>
        <color theme="0"/>
      </font>
      <fill>
        <patternFill>
          <bgColor rgb="FF002060"/>
        </patternFill>
      </fill>
    </dxf>
    <dxf>
      <font>
        <color auto="1"/>
      </font>
      <fill>
        <patternFill patternType="gray125">
          <fgColor theme="1"/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 patternType="gray125"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gradientFill type="path" left="0.5" right="0.5" top="0.5" bottom="0.5">
          <stop position="0">
            <color rgb="FFCCFFCC"/>
          </stop>
          <stop position="1">
            <color rgb="FF00B0F0"/>
          </stop>
        </gradient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FF"/>
        </patternFill>
      </fill>
    </dxf>
    <dxf>
      <font>
        <color theme="0"/>
      </font>
      <fill>
        <patternFill>
          <bgColor rgb="FF002060"/>
        </patternFill>
      </fill>
    </dxf>
    <dxf>
      <font>
        <color auto="1"/>
      </font>
      <fill>
        <patternFill patternType="gray125">
          <fgColor theme="1"/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CC66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FFFF"/>
        </patternFill>
      </fill>
    </dxf>
    <dxf>
      <fill>
        <patternFill>
          <bgColor rgb="FFFFFF00"/>
        </patternFill>
      </fill>
    </dxf>
    <dxf>
      <fill>
        <patternFill patternType="gray125"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gradientFill type="path" left="0.5" right="0.5" top="0.5" bottom="0.5">
          <stop position="0">
            <color rgb="FFCCFFCC"/>
          </stop>
          <stop position="1">
            <color rgb="FF00B0F0"/>
          </stop>
        </gradient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FF"/>
        </patternFill>
      </fill>
    </dxf>
    <dxf>
      <font>
        <color theme="0"/>
      </font>
      <fill>
        <patternFill>
          <bgColor rgb="FF002060"/>
        </patternFill>
      </fill>
    </dxf>
    <dxf>
      <font>
        <color auto="1"/>
      </font>
      <fill>
        <patternFill patternType="gray125">
          <fgColor theme="1"/>
          <bgColor theme="0" tint="-0.14996795556505021"/>
        </patternFill>
      </fill>
    </dxf>
    <dxf>
      <fill>
        <patternFill>
          <bgColor rgb="FFFF00FF"/>
        </patternFill>
      </fill>
    </dxf>
    <dxf>
      <fill>
        <patternFill>
          <bgColor rgb="FFCC66FF"/>
        </patternFill>
      </fill>
    </dxf>
    <dxf>
      <fill>
        <patternFill>
          <bgColor rgb="FFFF00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  <dxf>
      <fill>
        <patternFill>
          <bgColor rgb="FFCC66FF"/>
        </patternFill>
      </fill>
    </dxf>
  </dxfs>
  <tableStyles count="0" defaultTableStyle="TableStyleMedium2" defaultPivotStyle="PivotStyleLight16"/>
  <colors>
    <mruColors>
      <color rgb="FFFF00FF"/>
      <color rgb="FFFFCCCC"/>
      <color rgb="FFFFFFFF"/>
      <color rgb="FFFFFF66"/>
      <color rgb="FF003399"/>
      <color rgb="FFFFCC66"/>
      <color rgb="FF66FF99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361949</xdr:colOff>
      <xdr:row>12</xdr:row>
      <xdr:rowOff>55765</xdr:rowOff>
    </xdr:from>
    <xdr:to>
      <xdr:col>13</xdr:col>
      <xdr:colOff>565711</xdr:colOff>
      <xdr:row>22</xdr:row>
      <xdr:rowOff>161924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43424" y="2341765"/>
          <a:ext cx="4470962" cy="201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17</xdr:col>
      <xdr:colOff>534410</xdr:colOff>
      <xdr:row>12</xdr:row>
      <xdr:rowOff>95582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81475" y="0"/>
          <a:ext cx="7240010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864658</xdr:colOff>
      <xdr:row>21</xdr:row>
      <xdr:rowOff>13608</xdr:rowOff>
    </xdr:from>
    <xdr:to>
      <xdr:col>24</xdr:col>
      <xdr:colOff>529166</xdr:colOff>
      <xdr:row>37</xdr:row>
      <xdr:rowOff>179917</xdr:rowOff>
    </xdr:to>
    <xdr:cxnSp macro="">
      <xdr:nvCxnSpPr>
        <xdr:cNvPr id="24" name="Straight Connector 23"/>
        <xdr:cNvCxnSpPr/>
      </xdr:nvCxnSpPr>
      <xdr:spPr>
        <a:xfrm>
          <a:off x="20972991" y="11729358"/>
          <a:ext cx="5485342" cy="3563559"/>
        </a:xfrm>
        <a:prstGeom prst="line">
          <a:avLst/>
        </a:prstGeom>
        <a:ln>
          <a:solidFill>
            <a:schemeClr val="accent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10583</xdr:colOff>
      <xdr:row>21</xdr:row>
      <xdr:rowOff>10584</xdr:rowOff>
    </xdr:from>
    <xdr:to>
      <xdr:col>24</xdr:col>
      <xdr:colOff>825500</xdr:colOff>
      <xdr:row>37</xdr:row>
      <xdr:rowOff>169334</xdr:rowOff>
    </xdr:to>
    <xdr:cxnSp macro="">
      <xdr:nvCxnSpPr>
        <xdr:cNvPr id="25" name="Straight Connector 24"/>
        <xdr:cNvCxnSpPr/>
      </xdr:nvCxnSpPr>
      <xdr:spPr>
        <a:xfrm flipH="1">
          <a:off x="20986750" y="7482417"/>
          <a:ext cx="5767917" cy="3556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389315</xdr:colOff>
      <xdr:row>29</xdr:row>
      <xdr:rowOff>21167</xdr:rowOff>
    </xdr:from>
    <xdr:to>
      <xdr:col>25</xdr:col>
      <xdr:colOff>10583</xdr:colOff>
      <xdr:row>38</xdr:row>
      <xdr:rowOff>43548</xdr:rowOff>
    </xdr:to>
    <xdr:cxnSp macro="">
      <xdr:nvCxnSpPr>
        <xdr:cNvPr id="26" name="Straight Connector 25"/>
        <xdr:cNvCxnSpPr/>
      </xdr:nvCxnSpPr>
      <xdr:spPr>
        <a:xfrm flipV="1">
          <a:off x="17608398" y="12287250"/>
          <a:ext cx="2965602" cy="183213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21</xdr:row>
      <xdr:rowOff>0</xdr:rowOff>
    </xdr:from>
    <xdr:to>
      <xdr:col>21</xdr:col>
      <xdr:colOff>381000</xdr:colOff>
      <xdr:row>29</xdr:row>
      <xdr:rowOff>22529</xdr:rowOff>
    </xdr:to>
    <xdr:cxnSp macro="">
      <xdr:nvCxnSpPr>
        <xdr:cNvPr id="27" name="Straight Connector 26"/>
        <xdr:cNvCxnSpPr/>
      </xdr:nvCxnSpPr>
      <xdr:spPr>
        <a:xfrm flipV="1">
          <a:off x="14774333" y="10657417"/>
          <a:ext cx="2825750" cy="16311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402166</xdr:colOff>
      <xdr:row>21</xdr:row>
      <xdr:rowOff>0</xdr:rowOff>
    </xdr:from>
    <xdr:to>
      <xdr:col>24</xdr:col>
      <xdr:colOff>772583</xdr:colOff>
      <xdr:row>29</xdr:row>
      <xdr:rowOff>0</xdr:rowOff>
    </xdr:to>
    <xdr:cxnSp macro="">
      <xdr:nvCxnSpPr>
        <xdr:cNvPr id="28" name="Straight Connector 27"/>
        <xdr:cNvCxnSpPr/>
      </xdr:nvCxnSpPr>
      <xdr:spPr>
        <a:xfrm>
          <a:off x="23823083" y="11715750"/>
          <a:ext cx="2878667" cy="16086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804333</xdr:colOff>
      <xdr:row>29</xdr:row>
      <xdr:rowOff>31750</xdr:rowOff>
    </xdr:from>
    <xdr:to>
      <xdr:col>21</xdr:col>
      <xdr:colOff>412750</xdr:colOff>
      <xdr:row>38</xdr:row>
      <xdr:rowOff>10584</xdr:rowOff>
    </xdr:to>
    <xdr:cxnSp macro="">
      <xdr:nvCxnSpPr>
        <xdr:cNvPr id="32" name="Straight Connector 31"/>
        <xdr:cNvCxnSpPr/>
      </xdr:nvCxnSpPr>
      <xdr:spPr>
        <a:xfrm>
          <a:off x="14763750" y="12297833"/>
          <a:ext cx="2868083" cy="17885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717550</xdr:colOff>
      <xdr:row>20</xdr:row>
      <xdr:rowOff>997858</xdr:rowOff>
    </xdr:from>
    <xdr:to>
      <xdr:col>17</xdr:col>
      <xdr:colOff>10583</xdr:colOff>
      <xdr:row>38</xdr:row>
      <xdr:rowOff>10583</xdr:rowOff>
    </xdr:to>
    <xdr:cxnSp macro="">
      <xdr:nvCxnSpPr>
        <xdr:cNvPr id="17" name="Straight Connector 16"/>
        <xdr:cNvCxnSpPr/>
      </xdr:nvCxnSpPr>
      <xdr:spPr>
        <a:xfrm>
          <a:off x="11925300" y="7453691"/>
          <a:ext cx="5314950" cy="3627059"/>
        </a:xfrm>
        <a:prstGeom prst="line">
          <a:avLst/>
        </a:prstGeom>
        <a:ln>
          <a:solidFill>
            <a:schemeClr val="accent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10583</xdr:colOff>
      <xdr:row>21</xdr:row>
      <xdr:rowOff>10584</xdr:rowOff>
    </xdr:from>
    <xdr:to>
      <xdr:col>16</xdr:col>
      <xdr:colOff>825500</xdr:colOff>
      <xdr:row>37</xdr:row>
      <xdr:rowOff>169334</xdr:rowOff>
    </xdr:to>
    <xdr:cxnSp macro="">
      <xdr:nvCxnSpPr>
        <xdr:cNvPr id="18" name="Straight Connector 17"/>
        <xdr:cNvCxnSpPr/>
      </xdr:nvCxnSpPr>
      <xdr:spPr>
        <a:xfrm flipH="1">
          <a:off x="18055166" y="7482417"/>
          <a:ext cx="5770034" cy="3556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389315</xdr:colOff>
      <xdr:row>29</xdr:row>
      <xdr:rowOff>21167</xdr:rowOff>
    </xdr:from>
    <xdr:to>
      <xdr:col>17</xdr:col>
      <xdr:colOff>10583</xdr:colOff>
      <xdr:row>38</xdr:row>
      <xdr:rowOff>43548</xdr:rowOff>
    </xdr:to>
    <xdr:cxnSp macro="">
      <xdr:nvCxnSpPr>
        <xdr:cNvPr id="19" name="Straight Connector 18"/>
        <xdr:cNvCxnSpPr/>
      </xdr:nvCxnSpPr>
      <xdr:spPr>
        <a:xfrm flipV="1">
          <a:off x="20899815" y="9101667"/>
          <a:ext cx="2944435" cy="201204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21</xdr:row>
      <xdr:rowOff>0</xdr:rowOff>
    </xdr:from>
    <xdr:to>
      <xdr:col>13</xdr:col>
      <xdr:colOff>381000</xdr:colOff>
      <xdr:row>29</xdr:row>
      <xdr:rowOff>22529</xdr:rowOff>
    </xdr:to>
    <xdr:cxnSp macro="">
      <xdr:nvCxnSpPr>
        <xdr:cNvPr id="20" name="Straight Connector 19"/>
        <xdr:cNvCxnSpPr/>
      </xdr:nvCxnSpPr>
      <xdr:spPr>
        <a:xfrm flipV="1">
          <a:off x="18044583" y="7471833"/>
          <a:ext cx="2846917" cy="16311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402166</xdr:colOff>
      <xdr:row>21</xdr:row>
      <xdr:rowOff>0</xdr:rowOff>
    </xdr:from>
    <xdr:to>
      <xdr:col>16</xdr:col>
      <xdr:colOff>772583</xdr:colOff>
      <xdr:row>29</xdr:row>
      <xdr:rowOff>0</xdr:rowOff>
    </xdr:to>
    <xdr:cxnSp macro="">
      <xdr:nvCxnSpPr>
        <xdr:cNvPr id="21" name="Straight Connector 20"/>
        <xdr:cNvCxnSpPr/>
      </xdr:nvCxnSpPr>
      <xdr:spPr>
        <a:xfrm>
          <a:off x="20912666" y="7471833"/>
          <a:ext cx="2878667" cy="16086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804333</xdr:colOff>
      <xdr:row>29</xdr:row>
      <xdr:rowOff>31750</xdr:rowOff>
    </xdr:from>
    <xdr:to>
      <xdr:col>13</xdr:col>
      <xdr:colOff>412750</xdr:colOff>
      <xdr:row>38</xdr:row>
      <xdr:rowOff>10584</xdr:rowOff>
    </xdr:to>
    <xdr:cxnSp macro="">
      <xdr:nvCxnSpPr>
        <xdr:cNvPr id="22" name="Straight Connector 21"/>
        <xdr:cNvCxnSpPr/>
      </xdr:nvCxnSpPr>
      <xdr:spPr>
        <a:xfrm>
          <a:off x="18034000" y="9112250"/>
          <a:ext cx="2889250" cy="19685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51</xdr:row>
      <xdr:rowOff>184683</xdr:rowOff>
    </xdr:from>
    <xdr:to>
      <xdr:col>11</xdr:col>
      <xdr:colOff>507538</xdr:colOff>
      <xdr:row>66</xdr:row>
      <xdr:rowOff>121710</xdr:rowOff>
    </xdr:to>
    <xdr:grpSp>
      <xdr:nvGrpSpPr>
        <xdr:cNvPr id="9" name="Group 8"/>
        <xdr:cNvGrpSpPr/>
      </xdr:nvGrpSpPr>
      <xdr:grpSpPr>
        <a:xfrm>
          <a:off x="10210800" y="14862708"/>
          <a:ext cx="3365038" cy="2937402"/>
          <a:chOff x="9182031" y="3598335"/>
          <a:chExt cx="3441278" cy="3159624"/>
        </a:xfrm>
      </xdr:grpSpPr>
      <xdr:sp macro="[0]!LinkToLe" textlink="$P$18">
        <xdr:nvSpPr>
          <xdr:cNvPr id="44" name="Rectangle 43"/>
          <xdr:cNvSpPr>
            <a:spLocks noChangeAspect="1"/>
          </xdr:cNvSpPr>
        </xdr:nvSpPr>
        <xdr:spPr>
          <a:xfrm>
            <a:off x="11813285" y="5216015"/>
            <a:ext cx="795312" cy="75085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square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  <a:latin typeface="+mn-lt"/>
              </a:rPr>
              <a:t> Ju</a:t>
            </a:r>
          </a:p>
        </xdr:txBody>
      </xdr:sp>
      <xdr:grpSp>
        <xdr:nvGrpSpPr>
          <xdr:cNvPr id="8" name="Group 7"/>
          <xdr:cNvGrpSpPr/>
        </xdr:nvGrpSpPr>
        <xdr:grpSpPr>
          <a:xfrm>
            <a:off x="9182031" y="3598335"/>
            <a:ext cx="3441278" cy="3159624"/>
            <a:chOff x="9637114" y="5058834"/>
            <a:chExt cx="3441278" cy="3159624"/>
          </a:xfrm>
        </xdr:grpSpPr>
        <xdr:sp macro="[0]!LinkToTa" textlink="$O$16">
          <xdr:nvSpPr>
            <xdr:cNvPr id="41" name="Rectangle 40"/>
            <xdr:cNvSpPr>
              <a:spLocks noChangeAspect="1"/>
            </xdr:cNvSpPr>
          </xdr:nvSpPr>
          <xdr:spPr>
            <a:xfrm>
              <a:off x="11398339" y="5060086"/>
              <a:ext cx="795312" cy="75586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Ke</a:t>
              </a:r>
            </a:p>
          </xdr:txBody>
        </xdr:sp>
        <xdr:sp macro="[0]!LinkToGe" textlink="$P$16">
          <xdr:nvSpPr>
            <xdr:cNvPr id="42" name="Rectangle 41"/>
            <xdr:cNvSpPr>
              <a:spLocks noChangeAspect="1"/>
            </xdr:cNvSpPr>
          </xdr:nvSpPr>
          <xdr:spPr>
            <a:xfrm>
              <a:off x="12281709" y="5058834"/>
              <a:ext cx="789798" cy="75837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As</a:t>
              </a:r>
            </a:p>
          </xdr:txBody>
        </xdr:sp>
        <xdr:sp macro="[0]!LinkToCn" textlink="$P$17">
          <xdr:nvSpPr>
            <xdr:cNvPr id="43" name="Rectangle 42"/>
            <xdr:cNvSpPr>
              <a:spLocks noChangeAspect="1"/>
            </xdr:cNvSpPr>
          </xdr:nvSpPr>
          <xdr:spPr>
            <a:xfrm>
              <a:off x="12281709" y="5865515"/>
              <a:ext cx="789799" cy="748349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endParaRPr lang="en-US" sz="1400" b="1">
                <a:solidFill>
                  <a:schemeClr val="tx1"/>
                </a:solidFill>
                <a:latin typeface="+mn-lt"/>
              </a:endParaRPr>
            </a:p>
          </xdr:txBody>
        </xdr:sp>
        <xdr:sp macro="[0]!LinkToVi" textlink="$P$19">
          <xdr:nvSpPr>
            <xdr:cNvPr id="45" name="Rectangle 44"/>
            <xdr:cNvSpPr>
              <a:spLocks noChangeAspect="1"/>
            </xdr:cNvSpPr>
          </xdr:nvSpPr>
          <xdr:spPr>
            <a:xfrm>
              <a:off x="12274823" y="7467603"/>
              <a:ext cx="803569" cy="75085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Ma, Me</a:t>
              </a:r>
            </a:p>
          </xdr:txBody>
        </xdr:sp>
        <xdr:sp macro="[0]!LinkToLi" textlink="$O$19">
          <xdr:nvSpPr>
            <xdr:cNvPr id="46" name="Rectangle 45"/>
            <xdr:cNvSpPr>
              <a:spLocks noChangeAspect="1"/>
            </xdr:cNvSpPr>
          </xdr:nvSpPr>
          <xdr:spPr>
            <a:xfrm>
              <a:off x="11396968" y="7472614"/>
              <a:ext cx="798056" cy="74083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Su, Ve, Sa</a:t>
              </a:r>
            </a:p>
          </xdr:txBody>
        </xdr:sp>
        <xdr:sp macro="[0]!LinkToSc" textlink="$N$19">
          <xdr:nvSpPr>
            <xdr:cNvPr id="47" name="Rectangle 46"/>
            <xdr:cNvSpPr>
              <a:spLocks noChangeAspect="1"/>
            </xdr:cNvSpPr>
          </xdr:nvSpPr>
          <xdr:spPr>
            <a:xfrm>
              <a:off x="10507412" y="7472614"/>
              <a:ext cx="815942" cy="740834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Ra</a:t>
              </a:r>
            </a:p>
          </xdr:txBody>
        </xdr:sp>
        <xdr:sp macro="[0]!LinkToSg" textlink="$M$19">
          <xdr:nvSpPr>
            <xdr:cNvPr id="48" name="Rectangle 47"/>
            <xdr:cNvSpPr>
              <a:spLocks noChangeAspect="1"/>
            </xdr:cNvSpPr>
          </xdr:nvSpPr>
          <xdr:spPr>
            <a:xfrm>
              <a:off x="9637714" y="7468856"/>
              <a:ext cx="794114" cy="7483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endParaRPr lang="en-US" sz="1400" b="1">
                <a:solidFill>
                  <a:schemeClr val="tx1"/>
                </a:solidFill>
                <a:latin typeface="+mn-lt"/>
              </a:endParaRPr>
            </a:p>
          </xdr:txBody>
        </xdr:sp>
        <xdr:sp macro="[0]!LinkToCp" textlink="$M$18">
          <xdr:nvSpPr>
            <xdr:cNvPr id="49" name="Rectangle 48"/>
            <xdr:cNvSpPr>
              <a:spLocks noChangeAspect="1"/>
            </xdr:cNvSpPr>
          </xdr:nvSpPr>
          <xdr:spPr>
            <a:xfrm>
              <a:off x="9652000" y="6688351"/>
              <a:ext cx="807873" cy="74835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endParaRPr lang="en-US" sz="1400" b="1">
                <a:solidFill>
                  <a:schemeClr val="tx1"/>
                </a:solidFill>
                <a:latin typeface="+mn-lt"/>
              </a:endParaRPr>
            </a:p>
          </xdr:txBody>
        </xdr:sp>
        <xdr:sp macro="[0]!LinkToAq" textlink="$M$17">
          <xdr:nvSpPr>
            <xdr:cNvPr id="50" name="Rectangle 49"/>
            <xdr:cNvSpPr>
              <a:spLocks noChangeAspect="1"/>
            </xdr:cNvSpPr>
          </xdr:nvSpPr>
          <xdr:spPr>
            <a:xfrm>
              <a:off x="9637114" y="5864262"/>
              <a:ext cx="795313" cy="75085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endParaRPr lang="en-US" sz="1400" b="1">
                <a:solidFill>
                  <a:schemeClr val="tx1"/>
                </a:solidFill>
                <a:latin typeface="+mn-lt"/>
              </a:endParaRPr>
            </a:p>
          </xdr:txBody>
        </xdr:sp>
        <xdr:sp macro="[0]!LinkToPi" textlink="$M$16">
          <xdr:nvSpPr>
            <xdr:cNvPr id="51" name="Rectangle 50"/>
            <xdr:cNvSpPr>
              <a:spLocks noChangeAspect="1"/>
            </xdr:cNvSpPr>
          </xdr:nvSpPr>
          <xdr:spPr>
            <a:xfrm>
              <a:off x="9637714" y="5061338"/>
              <a:ext cx="794114" cy="75336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r>
                <a:rPr lang="en-US" sz="1400" b="1">
                  <a:solidFill>
                    <a:schemeClr val="tx1"/>
                  </a:solidFill>
                  <a:latin typeface="+mn-lt"/>
                </a:rPr>
                <a:t> Mo</a:t>
              </a:r>
            </a:p>
          </xdr:txBody>
        </xdr:sp>
        <xdr:sp macro="[0]!Calculatenow" textlink="$N$17">
          <xdr:nvSpPr>
            <xdr:cNvPr id="52" name="Rectangle 51"/>
            <xdr:cNvSpPr>
              <a:spLocks noChangeAspect="1"/>
            </xdr:cNvSpPr>
          </xdr:nvSpPr>
          <xdr:spPr>
            <a:xfrm>
              <a:off x="10488836" y="5870170"/>
              <a:ext cx="1733705" cy="1590814"/>
            </a:xfrm>
            <a:prstGeom prst="rect">
              <a:avLst/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fld id="{81774CBB-E35C-40DD-98F8-388197CF7D0B}" type="TxLink">
                <a:rPr lang="en-US" sz="1400" b="0" i="0" u="none" strike="noStrike">
                  <a:solidFill>
                    <a:srgbClr val="000000"/>
                  </a:solidFill>
                  <a:latin typeface="Algerian"/>
                  <a:cs typeface="Arial"/>
                </a:rPr>
                <a:pPr algn="ctr"/>
                <a:t>Rasi</a:t>
              </a:fld>
              <a:endParaRPr lang="en-US" sz="1400"/>
            </a:p>
          </xdr:txBody>
        </xdr:sp>
        <xdr:sp macro="[0]!LinkToAr" textlink="$N$16">
          <xdr:nvSpPr>
            <xdr:cNvPr id="53" name="Rectangle 52"/>
            <xdr:cNvSpPr>
              <a:spLocks noChangeAspect="1"/>
            </xdr:cNvSpPr>
          </xdr:nvSpPr>
          <xdr:spPr>
            <a:xfrm>
              <a:off x="10508783" y="5058834"/>
              <a:ext cx="813199" cy="75837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square" rtlCol="0" anchor="ctr"/>
            <a:lstStyle/>
            <a:p>
              <a:pPr algn="ctr"/>
              <a:endParaRPr lang="en-US" sz="1400" b="1">
                <a:solidFill>
                  <a:schemeClr val="tx1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20</xdr:col>
      <xdr:colOff>407462</xdr:colOff>
      <xdr:row>53</xdr:row>
      <xdr:rowOff>101599</xdr:rowOff>
    </xdr:from>
    <xdr:to>
      <xdr:col>24</xdr:col>
      <xdr:colOff>503771</xdr:colOff>
      <xdr:row>69</xdr:row>
      <xdr:rowOff>198966</xdr:rowOff>
    </xdr:to>
    <xdr:grpSp>
      <xdr:nvGrpSpPr>
        <xdr:cNvPr id="2" name="Group 1"/>
        <xdr:cNvGrpSpPr/>
      </xdr:nvGrpSpPr>
      <xdr:grpSpPr>
        <a:xfrm>
          <a:off x="20133737" y="15179674"/>
          <a:ext cx="3134784" cy="3297767"/>
          <a:chOff x="18838333" y="11281834"/>
          <a:chExt cx="3503084" cy="3206750"/>
        </a:xfrm>
      </xdr:grpSpPr>
      <xdr:sp macro="" textlink="$V$16">
        <xdr:nvSpPr>
          <xdr:cNvPr id="31" name="Rectangle 30"/>
          <xdr:cNvSpPr>
            <a:spLocks noChangeAspect="1"/>
          </xdr:cNvSpPr>
        </xdr:nvSpPr>
        <xdr:spPr>
          <a:xfrm>
            <a:off x="20634306" y="11283105"/>
            <a:ext cx="808121" cy="76713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55DA04F2-AF58-4515-B333-107AEEAB2310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As</a:t>
            </a:fld>
            <a:endParaRPr lang="en-US" sz="1600"/>
          </a:p>
        </xdr:txBody>
      </xdr:sp>
      <xdr:sp macro="" textlink="$W$16">
        <xdr:nvSpPr>
          <xdr:cNvPr id="33" name="Rectangle 32"/>
          <xdr:cNvSpPr>
            <a:spLocks noChangeAspect="1"/>
          </xdr:cNvSpPr>
        </xdr:nvSpPr>
        <xdr:spPr>
          <a:xfrm>
            <a:off x="21531902" y="11281834"/>
            <a:ext cx="802519" cy="76968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3B2952C0-BE7A-46B8-A812-9D4C281C33CF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Ma, Ve, Sa</a:t>
            </a:fld>
            <a:endParaRPr lang="en-US" sz="1600"/>
          </a:p>
        </xdr:txBody>
      </xdr:sp>
      <xdr:sp macro="" textlink="$W$17">
        <xdr:nvSpPr>
          <xdr:cNvPr id="34" name="Rectangle 33"/>
          <xdr:cNvSpPr>
            <a:spLocks noChangeAspect="1"/>
          </xdr:cNvSpPr>
        </xdr:nvSpPr>
        <xdr:spPr>
          <a:xfrm>
            <a:off x="21531902" y="12100547"/>
            <a:ext cx="802519" cy="75951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4900137D-6966-4613-AEBF-CFD4D38E6600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Me</a:t>
            </a:fld>
            <a:endParaRPr lang="en-US" sz="1600"/>
          </a:p>
        </xdr:txBody>
      </xdr:sp>
      <xdr:sp macro="" textlink="$W$18">
        <xdr:nvSpPr>
          <xdr:cNvPr id="35" name="Rectangle 34"/>
          <xdr:cNvSpPr>
            <a:spLocks noChangeAspect="1"/>
          </xdr:cNvSpPr>
        </xdr:nvSpPr>
        <xdr:spPr>
          <a:xfrm>
            <a:off x="21529101" y="12912902"/>
            <a:ext cx="808121" cy="76205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7E23D764-85B0-4B3D-9397-D398D444BE90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Ke</a:t>
            </a:fld>
            <a:endParaRPr lang="en-US" sz="1600"/>
          </a:p>
        </xdr:txBody>
      </xdr:sp>
      <xdr:sp macro="" textlink="$W$19">
        <xdr:nvSpPr>
          <xdr:cNvPr id="36" name="Rectangle 35"/>
          <xdr:cNvSpPr>
            <a:spLocks noChangeAspect="1"/>
          </xdr:cNvSpPr>
        </xdr:nvSpPr>
        <xdr:spPr>
          <a:xfrm>
            <a:off x="21524906" y="13726530"/>
            <a:ext cx="816511" cy="76205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A2D1824F-A1A1-4FC6-9BAA-B12C97911AAD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V$19">
        <xdr:nvSpPr>
          <xdr:cNvPr id="37" name="Rectangle 36"/>
          <xdr:cNvSpPr>
            <a:spLocks noChangeAspect="1"/>
          </xdr:cNvSpPr>
        </xdr:nvSpPr>
        <xdr:spPr>
          <a:xfrm>
            <a:off x="20632912" y="13731615"/>
            <a:ext cx="810909" cy="75188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5C5D61E7-72F9-41B5-99A7-A34EFC8B56D2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U$19">
        <xdr:nvSpPr>
          <xdr:cNvPr id="38" name="Rectangle 37"/>
          <xdr:cNvSpPr>
            <a:spLocks noChangeAspect="1"/>
          </xdr:cNvSpPr>
        </xdr:nvSpPr>
        <xdr:spPr>
          <a:xfrm>
            <a:off x="19729029" y="13731615"/>
            <a:ext cx="829084" cy="75188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406390BB-9C22-43BB-BF58-7F0A2B9F48CF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Mo, Ju</a:t>
            </a:fld>
            <a:endParaRPr lang="en-US" sz="1600"/>
          </a:p>
        </xdr:txBody>
      </xdr:sp>
      <xdr:sp macro="" textlink="$T$19">
        <xdr:nvSpPr>
          <xdr:cNvPr id="39" name="Rectangle 38"/>
          <xdr:cNvSpPr>
            <a:spLocks noChangeAspect="1"/>
          </xdr:cNvSpPr>
        </xdr:nvSpPr>
        <xdr:spPr>
          <a:xfrm>
            <a:off x="18845323" y="13727801"/>
            <a:ext cx="806904" cy="75951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69F50717-63D7-498C-AA13-F87D00823287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T$18">
        <xdr:nvSpPr>
          <xdr:cNvPr id="40" name="Rectangle 39"/>
          <xdr:cNvSpPr>
            <a:spLocks noChangeAspect="1"/>
          </xdr:cNvSpPr>
        </xdr:nvSpPr>
        <xdr:spPr>
          <a:xfrm>
            <a:off x="18838333" y="12914173"/>
            <a:ext cx="820884" cy="75951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BD5DC242-3F17-4E3C-9331-A46AB87FE7C1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Su</a:t>
            </a:fld>
            <a:endParaRPr lang="en-US" sz="1600"/>
          </a:p>
        </xdr:txBody>
      </xdr:sp>
      <xdr:sp macro="" textlink="$T$17">
        <xdr:nvSpPr>
          <xdr:cNvPr id="54" name="Rectangle 53"/>
          <xdr:cNvSpPr>
            <a:spLocks noChangeAspect="1"/>
          </xdr:cNvSpPr>
        </xdr:nvSpPr>
        <xdr:spPr>
          <a:xfrm>
            <a:off x="18844715" y="12099275"/>
            <a:ext cx="808122" cy="76205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5580B667-0EA6-4833-BD0A-106FB797B54C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Ra</a:t>
            </a:fld>
            <a:endParaRPr lang="en-US" sz="1600"/>
          </a:p>
        </xdr:txBody>
      </xdr:sp>
      <xdr:sp macro="" textlink="$T$16">
        <xdr:nvSpPr>
          <xdr:cNvPr id="55" name="Rectangle 54"/>
          <xdr:cNvSpPr>
            <a:spLocks noChangeAspect="1"/>
          </xdr:cNvSpPr>
        </xdr:nvSpPr>
        <xdr:spPr>
          <a:xfrm>
            <a:off x="18845323" y="11284376"/>
            <a:ext cx="806904" cy="76459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1B1006BA-D2E7-4ACC-9A09-C898B0199DFB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U$17">
        <xdr:nvSpPr>
          <xdr:cNvPr id="56" name="Rectangle 55"/>
          <xdr:cNvSpPr>
            <a:spLocks noChangeAspect="1"/>
          </xdr:cNvSpPr>
        </xdr:nvSpPr>
        <xdr:spPr>
          <a:xfrm>
            <a:off x="19710154" y="12105271"/>
            <a:ext cx="1761628" cy="1614541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A447BA4E-0862-432D-9EC3-ACC4C083EED7}" type="TxLink">
              <a:rPr lang="en-US" sz="1400" b="0" i="0" u="none" strike="noStrike">
                <a:solidFill>
                  <a:srgbClr val="000000"/>
                </a:solidFill>
                <a:latin typeface="Algerian"/>
                <a:cs typeface="Arial"/>
              </a:rPr>
              <a:pPr algn="ctr"/>
              <a:t>Navamsa</a:t>
            </a:fld>
            <a:endParaRPr lang="en-US" sz="1600"/>
          </a:p>
        </xdr:txBody>
      </xdr:sp>
      <xdr:sp macro="" textlink="$U$16">
        <xdr:nvSpPr>
          <xdr:cNvPr id="57" name="Rectangle 56"/>
          <xdr:cNvSpPr>
            <a:spLocks noChangeAspect="1"/>
          </xdr:cNvSpPr>
        </xdr:nvSpPr>
        <xdr:spPr>
          <a:xfrm>
            <a:off x="19730422" y="11281834"/>
            <a:ext cx="826297" cy="76968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F6169782-441B-4899-B8FD-8073426E5DA4}" type="TxLink">
              <a:rPr lang="en-US" sz="12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</xdr:grpSp>
    <xdr:clientData/>
  </xdr:twoCellAnchor>
  <xdr:twoCellAnchor editAs="oneCell">
    <xdr:from>
      <xdr:col>4</xdr:col>
      <xdr:colOff>114058</xdr:colOff>
      <xdr:row>77</xdr:row>
      <xdr:rowOff>84668</xdr:rowOff>
    </xdr:from>
    <xdr:to>
      <xdr:col>9</xdr:col>
      <xdr:colOff>582083</xdr:colOff>
      <xdr:row>79</xdr:row>
      <xdr:rowOff>125154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7725" y="20002501"/>
          <a:ext cx="4489692" cy="5273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32</xdr:row>
          <xdr:rowOff>161925</xdr:rowOff>
        </xdr:from>
        <xdr:to>
          <xdr:col>1</xdr:col>
          <xdr:colOff>1771650</xdr:colOff>
          <xdr:row>36</xdr:row>
          <xdr:rowOff>133350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15</xdr:row>
      <xdr:rowOff>0</xdr:rowOff>
    </xdr:from>
    <xdr:to>
      <xdr:col>9</xdr:col>
      <xdr:colOff>581425</xdr:colOff>
      <xdr:row>17</xdr:row>
      <xdr:rowOff>143065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20200" y="3857625"/>
          <a:ext cx="2867425" cy="13622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1447800</xdr:colOff>
          <xdr:row>0</xdr:row>
          <xdr:rowOff>95250</xdr:rowOff>
        </xdr:from>
        <xdr:to>
          <xdr:col>13</xdr:col>
          <xdr:colOff>1447800</xdr:colOff>
          <xdr:row>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62942</xdr:colOff>
      <xdr:row>0</xdr:row>
      <xdr:rowOff>41158</xdr:rowOff>
    </xdr:from>
    <xdr:to>
      <xdr:col>3</xdr:col>
      <xdr:colOff>1457333</xdr:colOff>
      <xdr:row>3</xdr:row>
      <xdr:rowOff>1475699</xdr:rowOff>
    </xdr:to>
    <xdr:grpSp>
      <xdr:nvGrpSpPr>
        <xdr:cNvPr id="16" name="Group 15"/>
        <xdr:cNvGrpSpPr/>
      </xdr:nvGrpSpPr>
      <xdr:grpSpPr>
        <a:xfrm>
          <a:off x="62942" y="41158"/>
          <a:ext cx="5966391" cy="6006541"/>
          <a:chOff x="62942" y="41158"/>
          <a:chExt cx="5966391" cy="6006541"/>
        </a:xfrm>
      </xdr:grpSpPr>
      <xdr:sp macro="" textlink="$O$16">
        <xdr:nvSpPr>
          <xdr:cNvPr id="4" name="Rectangle 3"/>
          <xdr:cNvSpPr>
            <a:spLocks noChangeAspect="1"/>
          </xdr:cNvSpPr>
        </xdr:nvSpPr>
        <xdr:spPr>
          <a:xfrm>
            <a:off x="3121811" y="43538"/>
            <a:ext cx="1376378" cy="143692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939E0787-34F3-4500-BDDC-CF5FBE029AF5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P$16">
        <xdr:nvSpPr>
          <xdr:cNvPr id="5" name="Rectangle 4"/>
          <xdr:cNvSpPr>
            <a:spLocks noChangeAspect="1"/>
          </xdr:cNvSpPr>
        </xdr:nvSpPr>
        <xdr:spPr>
          <a:xfrm>
            <a:off x="4650582" y="41158"/>
            <a:ext cx="1366836" cy="14416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7F11772C-EE8A-44F8-BBDC-7454F8AF70EF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P$17">
        <xdr:nvSpPr>
          <xdr:cNvPr id="6" name="Rectangle 5"/>
          <xdr:cNvSpPr>
            <a:spLocks noChangeAspect="1"/>
          </xdr:cNvSpPr>
        </xdr:nvSpPr>
        <xdr:spPr>
          <a:xfrm>
            <a:off x="4650582" y="1574683"/>
            <a:ext cx="1366837" cy="142263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0DA5C0D0-B609-4A64-8642-38148A0C4355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P$18">
        <xdr:nvSpPr>
          <xdr:cNvPr id="7" name="Rectangle 6"/>
          <xdr:cNvSpPr>
            <a:spLocks noChangeAspect="1"/>
          </xdr:cNvSpPr>
        </xdr:nvSpPr>
        <xdr:spPr>
          <a:xfrm>
            <a:off x="4645811" y="3096300"/>
            <a:ext cx="1376378" cy="14274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CC3AF00A-C090-4BB9-B7AA-877A309CD37C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P$19">
        <xdr:nvSpPr>
          <xdr:cNvPr id="8" name="Rectangle 7"/>
          <xdr:cNvSpPr>
            <a:spLocks noChangeAspect="1"/>
          </xdr:cNvSpPr>
        </xdr:nvSpPr>
        <xdr:spPr>
          <a:xfrm>
            <a:off x="4638666" y="4620301"/>
            <a:ext cx="1390667" cy="142739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F9B3AC09-1B38-4621-BB87-014D86BC4203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O$19">
        <xdr:nvSpPr>
          <xdr:cNvPr id="9" name="Rectangle 8"/>
          <xdr:cNvSpPr>
            <a:spLocks noChangeAspect="1"/>
          </xdr:cNvSpPr>
        </xdr:nvSpPr>
        <xdr:spPr>
          <a:xfrm>
            <a:off x="3119437" y="4629826"/>
            <a:ext cx="1381126" cy="140834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7F86B3F7-3344-46F1-8756-E8F435ADD013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N$19">
        <xdr:nvSpPr>
          <xdr:cNvPr id="10" name="Rectangle 9"/>
          <xdr:cNvSpPr>
            <a:spLocks noChangeAspect="1"/>
          </xdr:cNvSpPr>
        </xdr:nvSpPr>
        <xdr:spPr>
          <a:xfrm>
            <a:off x="1579960" y="4629826"/>
            <a:ext cx="1412081" cy="140834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7404C85D-10E8-4451-80C2-BED624A76477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M$19">
        <xdr:nvSpPr>
          <xdr:cNvPr id="11" name="Rectangle 10"/>
          <xdr:cNvSpPr>
            <a:spLocks noChangeAspect="1"/>
          </xdr:cNvSpPr>
        </xdr:nvSpPr>
        <xdr:spPr>
          <a:xfrm>
            <a:off x="74848" y="4622682"/>
            <a:ext cx="1374305" cy="142263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5EA1802D-7320-40B0-8D3F-D7869205AC7D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M$18">
        <xdr:nvSpPr>
          <xdr:cNvPr id="12" name="Rectangle 11"/>
          <xdr:cNvSpPr>
            <a:spLocks noChangeAspect="1"/>
          </xdr:cNvSpPr>
        </xdr:nvSpPr>
        <xdr:spPr>
          <a:xfrm>
            <a:off x="62942" y="3098681"/>
            <a:ext cx="1398116" cy="142263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4CD857B8-26E2-4305-BB0D-73980B043E04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M$17">
        <xdr:nvSpPr>
          <xdr:cNvPr id="13" name="Rectangle 12"/>
          <xdr:cNvSpPr>
            <a:spLocks noChangeAspect="1"/>
          </xdr:cNvSpPr>
        </xdr:nvSpPr>
        <xdr:spPr>
          <a:xfrm>
            <a:off x="73811" y="1572301"/>
            <a:ext cx="1376379" cy="142739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4AEADE58-618D-4BE2-B501-7125D51A23F9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M$16">
        <xdr:nvSpPr>
          <xdr:cNvPr id="14" name="Rectangle 13"/>
          <xdr:cNvSpPr>
            <a:spLocks noChangeAspect="1"/>
          </xdr:cNvSpPr>
        </xdr:nvSpPr>
        <xdr:spPr>
          <a:xfrm>
            <a:off x="74848" y="45919"/>
            <a:ext cx="1374304" cy="143216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178AAD22-F836-40B6-8E8B-D1F01DE3C1B8}" type="TxLink">
              <a:rPr lang="en-US" sz="16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N$17">
        <xdr:nvSpPr>
          <xdr:cNvPr id="15" name="Rectangle 14"/>
          <xdr:cNvSpPr>
            <a:spLocks noChangeAspect="1"/>
          </xdr:cNvSpPr>
        </xdr:nvSpPr>
        <xdr:spPr>
          <a:xfrm>
            <a:off x="1547812" y="1583532"/>
            <a:ext cx="3000374" cy="302418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81774CBB-E35C-40DD-98F8-388197CF7D0B}" type="TxLink">
              <a:rPr lang="en-US" sz="1600" b="0" i="0" u="none" strike="noStrike">
                <a:solidFill>
                  <a:srgbClr val="000000"/>
                </a:solidFill>
                <a:latin typeface="Algerian"/>
                <a:cs typeface="Arial"/>
              </a:rPr>
              <a:pPr algn="ctr"/>
              <a:t> </a:t>
            </a:fld>
            <a:endParaRPr lang="en-US" sz="1600"/>
          </a:p>
        </xdr:txBody>
      </xdr:sp>
      <xdr:sp macro="" textlink="$N$16">
        <xdr:nvSpPr>
          <xdr:cNvPr id="18" name="Rectangle 17"/>
          <xdr:cNvSpPr>
            <a:spLocks noChangeAspect="1"/>
          </xdr:cNvSpPr>
        </xdr:nvSpPr>
        <xdr:spPr>
          <a:xfrm>
            <a:off x="1582333" y="41158"/>
            <a:ext cx="1407334" cy="14416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AB68B988-BA63-45AE-B78B-A81A3F8554C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762000</xdr:colOff>
          <xdr:row>4</xdr:row>
          <xdr:rowOff>0</xdr:rowOff>
        </xdr:from>
        <xdr:to>
          <xdr:col>10</xdr:col>
          <xdr:colOff>762000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B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gs"/>
      <sheetName val="DOB_Database"/>
    </sheetNames>
    <sheetDataSet>
      <sheetData sheetId="0"/>
      <sheetData sheetId="1">
        <row r="2">
          <cell r="B2" t="str">
            <v>Aarti</v>
          </cell>
          <cell r="C2" t="str">
            <v>Female</v>
          </cell>
          <cell r="I2" t="str">
            <v>18/9/1995</v>
          </cell>
          <cell r="J2" t="str">
            <v>08:45:50 AM</v>
          </cell>
          <cell r="L2">
            <v>5.5</v>
          </cell>
          <cell r="M2">
            <v>10.3623794</v>
          </cell>
          <cell r="N2">
            <v>77.969457899999995</v>
          </cell>
        </row>
        <row r="3">
          <cell r="B3" t="str">
            <v>ABDUL KALAM</v>
          </cell>
          <cell r="C3" t="str">
            <v>Male</v>
          </cell>
          <cell r="I3" t="str">
            <v>15/10/1931</v>
          </cell>
          <cell r="J3" t="str">
            <v>01:14:35 AM</v>
          </cell>
          <cell r="L3">
            <v>5.5</v>
          </cell>
          <cell r="M3">
            <v>9.2876253999999996</v>
          </cell>
          <cell r="N3">
            <v>79.312929100000005</v>
          </cell>
        </row>
        <row r="4">
          <cell r="B4" t="str">
            <v>Ramana Maharishi</v>
          </cell>
          <cell r="C4" t="str">
            <v>Male</v>
          </cell>
          <cell r="I4" t="str">
            <v>30/12/1879</v>
          </cell>
          <cell r="J4">
            <v>4.1666666666666664E-2</v>
          </cell>
          <cell r="L4">
            <v>5.5</v>
          </cell>
          <cell r="M4">
            <v>9.5345999999999993</v>
          </cell>
          <cell r="N4">
            <v>78.1999</v>
          </cell>
        </row>
        <row r="5">
          <cell r="B5" t="str">
            <v>Abhirami</v>
          </cell>
          <cell r="C5" t="str">
            <v>Female</v>
          </cell>
          <cell r="I5" t="str">
            <v>19/5/1996</v>
          </cell>
          <cell r="J5" t="str">
            <v>03:58:00 AM</v>
          </cell>
          <cell r="L5">
            <v>5.5</v>
          </cell>
          <cell r="M5">
            <v>11.214348299999999</v>
          </cell>
          <cell r="N5">
            <v>79.361265200000005</v>
          </cell>
        </row>
        <row r="6">
          <cell r="B6" t="str">
            <v>Abirami</v>
          </cell>
          <cell r="C6" t="str">
            <v>Female</v>
          </cell>
          <cell r="I6" t="str">
            <v>1/7/1997</v>
          </cell>
          <cell r="J6" t="str">
            <v>09:43:10 AM</v>
          </cell>
          <cell r="L6">
            <v>5.5</v>
          </cell>
          <cell r="M6">
            <v>12.740912700000001</v>
          </cell>
          <cell r="N6">
            <v>77.825292300000001</v>
          </cell>
        </row>
        <row r="7">
          <cell r="B7" t="str">
            <v>ADARSH SANTHANAM</v>
          </cell>
          <cell r="C7" t="str">
            <v>Male</v>
          </cell>
          <cell r="I7" t="str">
            <v>30/8/1990</v>
          </cell>
          <cell r="J7" t="str">
            <v>09:01:00 AM</v>
          </cell>
          <cell r="L7">
            <v>5.5</v>
          </cell>
          <cell r="M7">
            <v>11.941591499999999</v>
          </cell>
          <cell r="N7">
            <v>79.808313299999995</v>
          </cell>
        </row>
        <row r="8">
          <cell r="B8" t="str">
            <v>Adavi</v>
          </cell>
          <cell r="C8" t="str">
            <v>Female</v>
          </cell>
          <cell r="I8" t="str">
            <v>20/12/2017</v>
          </cell>
          <cell r="J8" t="str">
            <v>06:58:20 PM</v>
          </cell>
          <cell r="L8">
            <v>5.5</v>
          </cell>
          <cell r="M8">
            <v>11.941591499999999</v>
          </cell>
          <cell r="N8">
            <v>79.808313299999995</v>
          </cell>
        </row>
        <row r="9">
          <cell r="B9" t="str">
            <v>Adithya M</v>
          </cell>
          <cell r="C9" t="str">
            <v>Male</v>
          </cell>
          <cell r="I9" t="str">
            <v>1/6/1994</v>
          </cell>
          <cell r="J9" t="str">
            <v>07:40:00 PM</v>
          </cell>
          <cell r="L9">
            <v>5.5</v>
          </cell>
          <cell r="M9">
            <v>11.016844499999999</v>
          </cell>
          <cell r="N9">
            <v>76.955832099999995</v>
          </cell>
        </row>
        <row r="10">
          <cell r="B10" t="str">
            <v>Aditi</v>
          </cell>
          <cell r="C10" t="str">
            <v>Female</v>
          </cell>
          <cell r="I10" t="str">
            <v>19/3/1989</v>
          </cell>
          <cell r="J10" t="str">
            <v>01:49:00 PM</v>
          </cell>
          <cell r="L10">
            <v>5.5</v>
          </cell>
          <cell r="M10">
            <v>17.439929500000002</v>
          </cell>
          <cell r="N10">
            <v>78.498274100000003</v>
          </cell>
        </row>
        <row r="11">
          <cell r="B11" t="str">
            <v>Aditi Roy</v>
          </cell>
          <cell r="C11" t="str">
            <v>Female</v>
          </cell>
          <cell r="I11" t="str">
            <v>22/9/1986</v>
          </cell>
          <cell r="J11" t="str">
            <v>10:06:25 AM</v>
          </cell>
          <cell r="L11">
            <v>5.5</v>
          </cell>
          <cell r="M11">
            <v>23.344099700000001</v>
          </cell>
          <cell r="N11">
            <v>85.309562</v>
          </cell>
        </row>
        <row r="12">
          <cell r="B12" t="str">
            <v>Aditya Vikram Birla</v>
          </cell>
          <cell r="C12" t="str">
            <v>Male</v>
          </cell>
          <cell r="I12" t="str">
            <v>14/11/1943</v>
          </cell>
          <cell r="J12" t="str">
            <v>11:07:00 PM</v>
          </cell>
          <cell r="L12">
            <v>5.5</v>
          </cell>
          <cell r="M12">
            <v>22.572645999999999</v>
          </cell>
          <cell r="N12">
            <v>88.363894999999999</v>
          </cell>
        </row>
        <row r="13">
          <cell r="B13" t="str">
            <v>Adityan</v>
          </cell>
          <cell r="C13" t="str">
            <v>Male</v>
          </cell>
          <cell r="I13" t="str">
            <v>3/9/2014</v>
          </cell>
          <cell r="J13" t="str">
            <v>07:20:00 AM</v>
          </cell>
          <cell r="L13">
            <v>5.5</v>
          </cell>
          <cell r="M13">
            <v>10.2776061</v>
          </cell>
          <cell r="N13">
            <v>78.542391699999996</v>
          </cell>
        </row>
        <row r="14">
          <cell r="B14" t="str">
            <v>Adolf Hitler</v>
          </cell>
          <cell r="C14" t="str">
            <v>Male</v>
          </cell>
          <cell r="I14" t="str">
            <v>20/4/1889</v>
          </cell>
          <cell r="J14">
            <v>0.77083333333333337</v>
          </cell>
          <cell r="L14">
            <v>0.8666666666666667</v>
          </cell>
          <cell r="M14">
            <v>48.255699999999997</v>
          </cell>
          <cell r="N14">
            <v>13.0443</v>
          </cell>
        </row>
        <row r="15">
          <cell r="B15" t="str">
            <v>Ahalya Kuppuswamy</v>
          </cell>
          <cell r="C15" t="str">
            <v>Female</v>
          </cell>
          <cell r="I15" t="str">
            <v>6/5/1968</v>
          </cell>
          <cell r="J15" t="str">
            <v>08:07:00 PM</v>
          </cell>
          <cell r="L15">
            <v>5.5</v>
          </cell>
          <cell r="M15">
            <v>10.767231300000001</v>
          </cell>
          <cell r="N15">
            <v>79.844851199999994</v>
          </cell>
        </row>
        <row r="16">
          <cell r="B16" t="str">
            <v>AISHWARYA RAI</v>
          </cell>
          <cell r="C16" t="str">
            <v>Female</v>
          </cell>
          <cell r="I16" t="str">
            <v>1/11/1973</v>
          </cell>
          <cell r="J16" t="str">
            <v>04:26:35 AM</v>
          </cell>
          <cell r="L16">
            <v>5.5</v>
          </cell>
          <cell r="M16">
            <v>12.9141417</v>
          </cell>
          <cell r="N16">
            <v>74.855956800000001</v>
          </cell>
        </row>
        <row r="17">
          <cell r="B17" t="str">
            <v>AISHWARYA RAVISHANKAR</v>
          </cell>
          <cell r="C17" t="str">
            <v>Female</v>
          </cell>
          <cell r="I17" t="str">
            <v>23/2/1996</v>
          </cell>
          <cell r="J17" t="str">
            <v>08:24:20 AM</v>
          </cell>
          <cell r="L17">
            <v>5.5</v>
          </cell>
          <cell r="M17">
            <v>19.094828700000001</v>
          </cell>
          <cell r="N17">
            <v>74.747978900000007</v>
          </cell>
        </row>
        <row r="18">
          <cell r="B18" t="str">
            <v>Ajay Sriram</v>
          </cell>
          <cell r="C18" t="str">
            <v>Male</v>
          </cell>
          <cell r="I18" t="str">
            <v>3/7/1995</v>
          </cell>
          <cell r="J18" t="str">
            <v>05:20:00 AM</v>
          </cell>
          <cell r="L18">
            <v>5.5</v>
          </cell>
          <cell r="M18">
            <v>10.7904833</v>
          </cell>
          <cell r="N18">
            <v>78.704672500000001</v>
          </cell>
        </row>
        <row r="19">
          <cell r="B19" t="str">
            <v>Akhila</v>
          </cell>
          <cell r="C19" t="str">
            <v>Female</v>
          </cell>
          <cell r="I19" t="str">
            <v>22/7/1988</v>
          </cell>
          <cell r="J19">
            <v>0.69444444444444453</v>
          </cell>
          <cell r="L19">
            <v>5.5</v>
          </cell>
          <cell r="M19">
            <v>10.9601852</v>
          </cell>
          <cell r="N19">
            <v>79.384497600000003</v>
          </cell>
        </row>
        <row r="20">
          <cell r="B20" t="str">
            <v>AKHILANK MJ</v>
          </cell>
          <cell r="C20" t="str">
            <v>Male</v>
          </cell>
          <cell r="I20" t="str">
            <v>23/11/1997</v>
          </cell>
          <cell r="J20">
            <v>0.18680555555555556</v>
          </cell>
          <cell r="L20">
            <v>5.5</v>
          </cell>
          <cell r="M20">
            <v>12.295810400000001</v>
          </cell>
          <cell r="N20">
            <v>76.639380500000001</v>
          </cell>
        </row>
        <row r="21">
          <cell r="B21" t="str">
            <v>Akilan</v>
          </cell>
          <cell r="C21" t="str">
            <v>Male</v>
          </cell>
          <cell r="I21" t="str">
            <v>5/9/2002</v>
          </cell>
          <cell r="J21" t="str">
            <v>12:02:00 PM</v>
          </cell>
          <cell r="L21">
            <v>5.5</v>
          </cell>
          <cell r="M21">
            <v>12.740912700000001</v>
          </cell>
          <cell r="N21">
            <v>77.825292300000001</v>
          </cell>
        </row>
        <row r="22">
          <cell r="B22" t="str">
            <v xml:space="preserve">Akilan </v>
          </cell>
          <cell r="C22" t="str">
            <v>Male</v>
          </cell>
          <cell r="I22" t="str">
            <v>5/9/2002</v>
          </cell>
          <cell r="J22">
            <v>0.50138888888888888</v>
          </cell>
          <cell r="L22">
            <v>5.5</v>
          </cell>
          <cell r="M22">
            <v>12.736388888888888</v>
          </cell>
          <cell r="N22">
            <v>77.832777777777778</v>
          </cell>
        </row>
        <row r="23">
          <cell r="B23" t="str">
            <v>Akilan Dr</v>
          </cell>
          <cell r="C23" t="str">
            <v>Male</v>
          </cell>
          <cell r="I23" t="str">
            <v>9/2/1995</v>
          </cell>
          <cell r="J23" t="str">
            <v>01:40:00 AM</v>
          </cell>
          <cell r="L23">
            <v>5.5</v>
          </cell>
          <cell r="M23">
            <v>10.5488795</v>
          </cell>
          <cell r="N23">
            <v>79.639015000000001</v>
          </cell>
        </row>
        <row r="24">
          <cell r="B24" t="str">
            <v>Akshara Iyer</v>
          </cell>
          <cell r="C24" t="str">
            <v>Female</v>
          </cell>
          <cell r="I24" t="str">
            <v>24/12/2021</v>
          </cell>
          <cell r="J24" t="str">
            <v>08:52:00 PM</v>
          </cell>
          <cell r="L24">
            <v>5.5</v>
          </cell>
          <cell r="M24">
            <v>41.878113599999999</v>
          </cell>
          <cell r="N24">
            <v>-87.629798199999996</v>
          </cell>
        </row>
        <row r="25">
          <cell r="B25" t="str">
            <v>Akshaya</v>
          </cell>
          <cell r="C25" t="str">
            <v>Female</v>
          </cell>
          <cell r="I25" t="str">
            <v>21/7/2014</v>
          </cell>
          <cell r="J25" t="str">
            <v>07:30:00 PM</v>
          </cell>
          <cell r="L25">
            <v>5.5</v>
          </cell>
          <cell r="M25">
            <v>11.664325</v>
          </cell>
          <cell r="N25">
            <v>78.146014199999996</v>
          </cell>
        </row>
        <row r="26">
          <cell r="B26" t="str">
            <v>Akshaya</v>
          </cell>
          <cell r="C26" t="str">
            <v>Female</v>
          </cell>
          <cell r="I26" t="str">
            <v>4/10/1996</v>
          </cell>
          <cell r="J26" t="str">
            <v>02:20:00 PM</v>
          </cell>
          <cell r="L26">
            <v>5.5</v>
          </cell>
          <cell r="M26">
            <v>10.9612134</v>
          </cell>
          <cell r="N26">
            <v>79.660034300000007</v>
          </cell>
        </row>
        <row r="27">
          <cell r="B27" t="str">
            <v>Amritanandamayi Ma</v>
          </cell>
          <cell r="C27" t="str">
            <v>Female</v>
          </cell>
          <cell r="I27" t="str">
            <v>27/9/1953</v>
          </cell>
          <cell r="J27" t="str">
            <v>09:01:00 AM</v>
          </cell>
          <cell r="L27">
            <v>5.5</v>
          </cell>
          <cell r="M27">
            <v>9.0847815000000001</v>
          </cell>
          <cell r="N27">
            <v>76.488840800000006</v>
          </cell>
        </row>
        <row r="28">
          <cell r="B28" t="str">
            <v>AMRUTHA</v>
          </cell>
          <cell r="C28" t="str">
            <v>Female</v>
          </cell>
          <cell r="I28" t="str">
            <v>10/6/2004</v>
          </cell>
          <cell r="J28" t="str">
            <v>10:07:49 AM</v>
          </cell>
          <cell r="L28">
            <v>5.5</v>
          </cell>
          <cell r="M28">
            <v>12.971598699999999</v>
          </cell>
          <cell r="N28">
            <v>77.594562699999997</v>
          </cell>
        </row>
        <row r="29">
          <cell r="B29" t="str">
            <v>Amutha</v>
          </cell>
          <cell r="C29" t="str">
            <v>Female</v>
          </cell>
          <cell r="I29" t="str">
            <v>31/1/1998</v>
          </cell>
          <cell r="J29" t="str">
            <v>02:15:00 PM</v>
          </cell>
          <cell r="L29">
            <v>5.5</v>
          </cell>
          <cell r="M29">
            <v>9.9252006999999995</v>
          </cell>
          <cell r="N29">
            <v>78.119775399999995</v>
          </cell>
        </row>
        <row r="30">
          <cell r="B30" t="str">
            <v>Anand</v>
          </cell>
          <cell r="C30" t="str">
            <v>Male</v>
          </cell>
          <cell r="I30" t="str">
            <v>19/3/1991</v>
          </cell>
          <cell r="J30" t="str">
            <v>09:10:00 PM</v>
          </cell>
          <cell r="L30">
            <v>5.5</v>
          </cell>
          <cell r="M30">
            <v>10.786999399999999</v>
          </cell>
          <cell r="N30">
            <v>79.137827400000006</v>
          </cell>
        </row>
        <row r="31">
          <cell r="B31" t="str">
            <v>Anand Viswanathan</v>
          </cell>
          <cell r="C31" t="str">
            <v>Male</v>
          </cell>
          <cell r="I31" t="str">
            <v>11/12/1969</v>
          </cell>
          <cell r="J31" t="str">
            <v>10:00:00 AM</v>
          </cell>
          <cell r="L31">
            <v>5.5</v>
          </cell>
          <cell r="M31">
            <v>11.101770500000001</v>
          </cell>
          <cell r="N31">
            <v>79.652568599999995</v>
          </cell>
        </row>
        <row r="32">
          <cell r="B32" t="str">
            <v>Anand(for Gowthami)</v>
          </cell>
          <cell r="C32" t="str">
            <v>Male</v>
          </cell>
          <cell r="I32" t="str">
            <v>15/9/1990</v>
          </cell>
          <cell r="J32" t="str">
            <v>11:45:00 PM</v>
          </cell>
          <cell r="L32">
            <v>5.5</v>
          </cell>
          <cell r="M32">
            <v>12.916516700000001</v>
          </cell>
          <cell r="N32">
            <v>79.132498600000005</v>
          </cell>
        </row>
        <row r="33">
          <cell r="B33" t="str">
            <v>Anandaraj</v>
          </cell>
          <cell r="C33" t="str">
            <v>Male</v>
          </cell>
          <cell r="I33" t="str">
            <v>30/9/1991</v>
          </cell>
          <cell r="J33" t="str">
            <v>10:33:10 PM</v>
          </cell>
          <cell r="L33">
            <v>5.5</v>
          </cell>
          <cell r="M33">
            <v>10.007932200000001</v>
          </cell>
          <cell r="N33">
            <v>77.473544099999998</v>
          </cell>
        </row>
        <row r="34">
          <cell r="B34" t="str">
            <v>ANANDRAO CB</v>
          </cell>
          <cell r="C34" t="str">
            <v>Male</v>
          </cell>
          <cell r="I34" t="str">
            <v>22/1/1967</v>
          </cell>
          <cell r="J34" t="str">
            <v>09:14:01 AM</v>
          </cell>
          <cell r="L34">
            <v>5.5</v>
          </cell>
          <cell r="M34">
            <v>13.484305900000001</v>
          </cell>
          <cell r="N34">
            <v>77.439718799999994</v>
          </cell>
        </row>
        <row r="35">
          <cell r="B35" t="str">
            <v>Ananthi</v>
          </cell>
          <cell r="C35" t="str">
            <v>Female</v>
          </cell>
          <cell r="I35" t="str">
            <v>20/6/1973</v>
          </cell>
          <cell r="J35" t="str">
            <v>08:36:00 AM</v>
          </cell>
          <cell r="L35">
            <v>5.5</v>
          </cell>
          <cell r="M35">
            <v>12.818455999999999</v>
          </cell>
          <cell r="N35">
            <v>79.694658599999997</v>
          </cell>
        </row>
        <row r="36">
          <cell r="B36" t="str">
            <v>Anb(busns)</v>
          </cell>
          <cell r="C36" t="str">
            <v>Male</v>
          </cell>
          <cell r="I36" t="str">
            <v>7/6/1964</v>
          </cell>
          <cell r="J36" t="str">
            <v>05:14:26 AM</v>
          </cell>
          <cell r="L36">
            <v>5.5</v>
          </cell>
          <cell r="M36">
            <v>11.1085242</v>
          </cell>
          <cell r="N36">
            <v>77.341065599999993</v>
          </cell>
        </row>
        <row r="37">
          <cell r="B37" t="str">
            <v>Anil Ambani</v>
          </cell>
          <cell r="C37" t="str">
            <v>Male</v>
          </cell>
          <cell r="I37" t="str">
            <v>4/6/1959</v>
          </cell>
          <cell r="J37" t="str">
            <v>09:30:00 PM</v>
          </cell>
          <cell r="L37">
            <v>5.5</v>
          </cell>
          <cell r="M37">
            <v>19.075983699999998</v>
          </cell>
          <cell r="N37">
            <v>72.877655899999993</v>
          </cell>
        </row>
        <row r="38">
          <cell r="B38" t="str">
            <v>Anil Dr</v>
          </cell>
          <cell r="C38" t="str">
            <v>Male</v>
          </cell>
          <cell r="I38" t="str">
            <v>3/4/1979</v>
          </cell>
          <cell r="J38">
            <v>0.78993055555555547</v>
          </cell>
          <cell r="L38">
            <v>5.5</v>
          </cell>
          <cell r="M38">
            <v>19.011111111111113</v>
          </cell>
          <cell r="N38">
            <v>74.421666666666667</v>
          </cell>
        </row>
        <row r="39">
          <cell r="B39" t="str">
            <v>Anirud Thyagharajon</v>
          </cell>
          <cell r="C39" t="str">
            <v>Male</v>
          </cell>
          <cell r="I39" t="str">
            <v>31/5/1994</v>
          </cell>
          <cell r="J39" t="str">
            <v>06:37:30 AM</v>
          </cell>
          <cell r="L39">
            <v>5.5</v>
          </cell>
          <cell r="M39">
            <v>13.0499711</v>
          </cell>
          <cell r="N39">
            <v>80.212130599999995</v>
          </cell>
        </row>
        <row r="40">
          <cell r="B40" t="str">
            <v>Aniruddh Suresh</v>
          </cell>
          <cell r="C40" t="str">
            <v>Male</v>
          </cell>
          <cell r="I40" t="str">
            <v>1/1/1997</v>
          </cell>
          <cell r="J40" t="str">
            <v>07:23:00 PM</v>
          </cell>
          <cell r="L40">
            <v>5.5</v>
          </cell>
          <cell r="M40">
            <v>12.971598699999999</v>
          </cell>
          <cell r="N40">
            <v>77.594562699999997</v>
          </cell>
        </row>
        <row r="41">
          <cell r="B41" t="str">
            <v>Aniruddha Lakshmi Manjunath</v>
          </cell>
          <cell r="C41" t="str">
            <v>Male</v>
          </cell>
          <cell r="I41" t="str">
            <v>15/10/2001</v>
          </cell>
          <cell r="J41">
            <v>0.53940972222222217</v>
          </cell>
          <cell r="L41">
            <v>5.5</v>
          </cell>
          <cell r="M41">
            <v>12.971598699999999</v>
          </cell>
          <cell r="N41">
            <v>77.594562699999997</v>
          </cell>
        </row>
        <row r="42">
          <cell r="B42" t="str">
            <v>Anirudh Hariharan</v>
          </cell>
          <cell r="C42" t="str">
            <v>Male</v>
          </cell>
          <cell r="I42" t="str">
            <v>29/5/2018</v>
          </cell>
          <cell r="J42" t="str">
            <v>10:20:00 AM</v>
          </cell>
          <cell r="L42">
            <v>5.5</v>
          </cell>
          <cell r="M42">
            <v>12.9700247</v>
          </cell>
          <cell r="N42">
            <v>77.653612499999994</v>
          </cell>
        </row>
        <row r="43">
          <cell r="B43" t="str">
            <v>ANIRUDH RAGHU</v>
          </cell>
          <cell r="C43" t="str">
            <v>Male</v>
          </cell>
          <cell r="I43" t="str">
            <v>27/1/1998</v>
          </cell>
          <cell r="J43" t="str">
            <v>01:30:00 PM</v>
          </cell>
          <cell r="L43">
            <v>5.5</v>
          </cell>
          <cell r="M43">
            <v>12.971598699999999</v>
          </cell>
          <cell r="N43">
            <v>77.594562699999997</v>
          </cell>
        </row>
        <row r="44">
          <cell r="B44" t="str">
            <v>Ambedkar, Babasaheb Dr. B.R.</v>
          </cell>
          <cell r="C44" t="str">
            <v>Male</v>
          </cell>
          <cell r="I44" t="str">
            <v>14/4/1891</v>
          </cell>
          <cell r="J44" t="str">
            <v>12:26:54 PM</v>
          </cell>
          <cell r="L44">
            <v>5.5</v>
          </cell>
          <cell r="M44">
            <v>22.550502900000001</v>
          </cell>
          <cell r="N44">
            <v>75.762507099999993</v>
          </cell>
        </row>
        <row r="45">
          <cell r="B45" t="str">
            <v>Anitha_Trichy</v>
          </cell>
          <cell r="C45" t="str">
            <v>Female</v>
          </cell>
          <cell r="I45" t="str">
            <v>22/10/1994</v>
          </cell>
          <cell r="J45" t="str">
            <v>06:15:15 AM</v>
          </cell>
          <cell r="L45">
            <v>5.5</v>
          </cell>
          <cell r="M45">
            <v>10.7904833</v>
          </cell>
          <cell r="N45">
            <v>78.704672500000001</v>
          </cell>
        </row>
        <row r="46">
          <cell r="B46" t="str">
            <v>Annapoorani S</v>
          </cell>
          <cell r="C46" t="str">
            <v>Female</v>
          </cell>
          <cell r="I46" t="str">
            <v>4/4/1992</v>
          </cell>
          <cell r="J46" t="str">
            <v>07:40:00 PM</v>
          </cell>
          <cell r="L46">
            <v>5.5</v>
          </cell>
          <cell r="M46">
            <v>17.439929500000002</v>
          </cell>
          <cell r="N46">
            <v>78.498274100000003</v>
          </cell>
        </row>
        <row r="47">
          <cell r="B47" t="str">
            <v>ANNAPURNI</v>
          </cell>
          <cell r="C47" t="str">
            <v>Female</v>
          </cell>
          <cell r="I47" t="str">
            <v>19/4/1993</v>
          </cell>
          <cell r="J47" t="str">
            <v>04:30:00 PM</v>
          </cell>
          <cell r="L47">
            <v>5.5</v>
          </cell>
          <cell r="M47">
            <v>23.795653099999999</v>
          </cell>
          <cell r="N47">
            <v>86.430385900000005</v>
          </cell>
        </row>
        <row r="48">
          <cell r="B48" t="str">
            <v>Anuradha Suresh</v>
          </cell>
          <cell r="C48" t="str">
            <v>Female</v>
          </cell>
          <cell r="I48" t="str">
            <v>25/6/2000</v>
          </cell>
          <cell r="J48" t="str">
            <v>07:15:07 PM</v>
          </cell>
          <cell r="L48">
            <v>5.5</v>
          </cell>
          <cell r="M48">
            <v>12.971598699999999</v>
          </cell>
          <cell r="N48">
            <v>77.594562699999997</v>
          </cell>
        </row>
        <row r="49">
          <cell r="B49" t="str">
            <v>Anushya R</v>
          </cell>
          <cell r="C49" t="str">
            <v>Female</v>
          </cell>
          <cell r="I49" t="str">
            <v>1/8/1990</v>
          </cell>
          <cell r="J49" t="str">
            <v>11:54:35 AM</v>
          </cell>
          <cell r="L49">
            <v>5.5</v>
          </cell>
          <cell r="M49">
            <v>8.7198948999999999</v>
          </cell>
          <cell r="N49">
            <v>77.734428800000003</v>
          </cell>
        </row>
        <row r="50">
          <cell r="B50" t="str">
            <v>Anusuya</v>
          </cell>
          <cell r="C50" t="str">
            <v>Female</v>
          </cell>
          <cell r="I50" t="str">
            <v>12/6/1995</v>
          </cell>
          <cell r="J50" t="str">
            <v>12:15:00 PM</v>
          </cell>
          <cell r="L50">
            <v>5.5</v>
          </cell>
          <cell r="M50">
            <v>25.285447300000001</v>
          </cell>
          <cell r="N50">
            <v>51.531039800000002</v>
          </cell>
        </row>
        <row r="51">
          <cell r="B51" t="str">
            <v>Aparna</v>
          </cell>
          <cell r="C51" t="str">
            <v>Female</v>
          </cell>
          <cell r="I51" t="str">
            <v>10/9/1997</v>
          </cell>
          <cell r="J51" t="str">
            <v>06:05:00 PM</v>
          </cell>
          <cell r="L51">
            <v>5.5</v>
          </cell>
          <cell r="M51">
            <v>13.0587654</v>
          </cell>
          <cell r="N51">
            <v>80.275629699999996</v>
          </cell>
        </row>
        <row r="52">
          <cell r="B52" t="str">
            <v>Apoorva</v>
          </cell>
          <cell r="C52" t="str">
            <v>Female</v>
          </cell>
          <cell r="I52" t="str">
            <v>25/2/1997</v>
          </cell>
          <cell r="J52" t="str">
            <v>01:25:24 PM</v>
          </cell>
          <cell r="L52">
            <v>5.5</v>
          </cell>
          <cell r="M52">
            <v>12.295810400000001</v>
          </cell>
          <cell r="N52">
            <v>76.639380500000001</v>
          </cell>
        </row>
        <row r="53">
          <cell r="B53" t="str">
            <v>Aravind C</v>
          </cell>
          <cell r="C53" t="str">
            <v>Male</v>
          </cell>
          <cell r="I53" t="str">
            <v>28/7/1980</v>
          </cell>
          <cell r="J53" t="str">
            <v>05:15:00 PM</v>
          </cell>
          <cell r="L53">
            <v>5.5</v>
          </cell>
          <cell r="M53">
            <v>13.0826802</v>
          </cell>
          <cell r="N53">
            <v>80.270718400000007</v>
          </cell>
        </row>
        <row r="54">
          <cell r="B54" t="str">
            <v>Aravindan</v>
          </cell>
          <cell r="C54" t="str">
            <v>Male</v>
          </cell>
          <cell r="I54" t="str">
            <v>18/8/1994</v>
          </cell>
          <cell r="J54" t="str">
            <v>09:35:00 AM</v>
          </cell>
          <cell r="L54">
            <v>5.5</v>
          </cell>
          <cell r="M54">
            <v>13.0826802</v>
          </cell>
          <cell r="N54">
            <v>80.270718400000007</v>
          </cell>
        </row>
        <row r="55">
          <cell r="B55" t="str">
            <v>ARIKTHA</v>
          </cell>
          <cell r="C55" t="str">
            <v>Female</v>
          </cell>
          <cell r="I55" t="str">
            <v>14/5/1998</v>
          </cell>
          <cell r="J55" t="str">
            <v>07:19:10 PM</v>
          </cell>
          <cell r="L55">
            <v>5.5</v>
          </cell>
          <cell r="M55">
            <v>17.385044000000001</v>
          </cell>
          <cell r="N55">
            <v>78.486671000000001</v>
          </cell>
        </row>
        <row r="56">
          <cell r="B56" t="str">
            <v>Arjun</v>
          </cell>
          <cell r="C56" t="str">
            <v>Male</v>
          </cell>
          <cell r="I56" t="str">
            <v>5/10/1993</v>
          </cell>
          <cell r="J56" t="str">
            <v>02:40:00 AM</v>
          </cell>
          <cell r="L56">
            <v>5.5</v>
          </cell>
          <cell r="M56">
            <v>11.941591499999999</v>
          </cell>
          <cell r="N56">
            <v>79.808313299999995</v>
          </cell>
        </row>
        <row r="57">
          <cell r="B57" t="str">
            <v>Arjun KR</v>
          </cell>
          <cell r="C57" t="str">
            <v>Male</v>
          </cell>
          <cell r="I57" t="str">
            <v>2/4/1994</v>
          </cell>
          <cell r="J57" t="str">
            <v>04:37:00 PM</v>
          </cell>
          <cell r="L57">
            <v>5.5</v>
          </cell>
          <cell r="M57">
            <v>13.0826802</v>
          </cell>
          <cell r="N57">
            <v>80.270718400000007</v>
          </cell>
        </row>
        <row r="58">
          <cell r="B58" t="str">
            <v>Arun</v>
          </cell>
          <cell r="C58" t="str">
            <v>Male</v>
          </cell>
          <cell r="I58" t="str">
            <v>30/7/1981</v>
          </cell>
          <cell r="J58" t="str">
            <v>04:29:00 AM</v>
          </cell>
          <cell r="L58">
            <v>5.5</v>
          </cell>
          <cell r="M58">
            <v>11.016844499999999</v>
          </cell>
          <cell r="N58">
            <v>76.955832099999995</v>
          </cell>
        </row>
        <row r="59">
          <cell r="B59" t="str">
            <v>ARUN PUGALENDHI</v>
          </cell>
          <cell r="C59" t="str">
            <v>Male</v>
          </cell>
          <cell r="I59" t="str">
            <v>22/8/1993</v>
          </cell>
          <cell r="J59" t="str">
            <v>04:15:00 PM</v>
          </cell>
          <cell r="L59">
            <v>5.5</v>
          </cell>
          <cell r="M59">
            <v>11.016844499999999</v>
          </cell>
          <cell r="N59">
            <v>76.955832099999995</v>
          </cell>
        </row>
        <row r="60">
          <cell r="B60" t="str">
            <v>Arunachalam</v>
          </cell>
          <cell r="C60" t="str">
            <v>Male</v>
          </cell>
          <cell r="I60" t="str">
            <v>19/6/1940</v>
          </cell>
          <cell r="J60" t="str">
            <v>12:28:00 PM</v>
          </cell>
          <cell r="L60">
            <v>6.5</v>
          </cell>
          <cell r="M60">
            <v>16.840938999999999</v>
          </cell>
          <cell r="N60">
            <v>96.173525999999995</v>
          </cell>
        </row>
        <row r="61">
          <cell r="B61" t="str">
            <v>Arunagiri</v>
          </cell>
          <cell r="C61" t="str">
            <v>Male</v>
          </cell>
          <cell r="I61" t="str">
            <v>22/5/1982</v>
          </cell>
          <cell r="J61" t="str">
            <v>07:23:00 PM</v>
          </cell>
          <cell r="L61">
            <v>5.5</v>
          </cell>
          <cell r="M61">
            <v>12.971598699999999</v>
          </cell>
          <cell r="N61">
            <v>77.594562699999997</v>
          </cell>
        </row>
        <row r="62">
          <cell r="B62" t="str">
            <v>Arunan</v>
          </cell>
          <cell r="C62" t="str">
            <v>Male</v>
          </cell>
          <cell r="I62" t="str">
            <v>2/11/1982</v>
          </cell>
          <cell r="J62" t="str">
            <v>05:30:10 PM</v>
          </cell>
          <cell r="L62">
            <v>5.5</v>
          </cell>
          <cell r="M62">
            <v>10.2776061</v>
          </cell>
          <cell r="N62">
            <v>78.542391699999996</v>
          </cell>
        </row>
        <row r="63">
          <cell r="B63" t="str">
            <v>Ashwath Sivaswamy</v>
          </cell>
          <cell r="C63" t="str">
            <v>Male</v>
          </cell>
          <cell r="I63" t="str">
            <v>1/4/1995</v>
          </cell>
          <cell r="J63" t="str">
            <v>11:40:00 PM</v>
          </cell>
          <cell r="L63">
            <v>5.5</v>
          </cell>
          <cell r="M63">
            <v>17.385044000000001</v>
          </cell>
          <cell r="N63">
            <v>78.486671000000001</v>
          </cell>
        </row>
        <row r="64">
          <cell r="B64" t="str">
            <v>Ashwin</v>
          </cell>
          <cell r="C64" t="str">
            <v>Male</v>
          </cell>
          <cell r="I64" t="str">
            <v>8/1/1991</v>
          </cell>
          <cell r="J64" t="str">
            <v>06:48:00 PM</v>
          </cell>
          <cell r="L64">
            <v>5.5</v>
          </cell>
          <cell r="M64">
            <v>13.0840593</v>
          </cell>
          <cell r="N64">
            <v>79.670412799999994</v>
          </cell>
        </row>
        <row r="65">
          <cell r="B65" t="str">
            <v>Ashwin</v>
          </cell>
          <cell r="C65" t="str">
            <v>Male</v>
          </cell>
          <cell r="I65" t="str">
            <v>7/4/2008</v>
          </cell>
          <cell r="J65" t="str">
            <v>03:30:00 PM</v>
          </cell>
          <cell r="L65">
            <v>5.5</v>
          </cell>
          <cell r="M65">
            <v>13.0521019</v>
          </cell>
          <cell r="N65">
            <v>80.225528600000004</v>
          </cell>
        </row>
        <row r="66">
          <cell r="B66" t="str">
            <v>Atal Bihari Vajpayee</v>
          </cell>
          <cell r="C66" t="str">
            <v>Male</v>
          </cell>
          <cell r="I66" t="str">
            <v>25/12/1924</v>
          </cell>
          <cell r="J66" t="str">
            <v>04:00:00 AM</v>
          </cell>
          <cell r="L66">
            <v>5.5</v>
          </cell>
          <cell r="M66">
            <v>26.2124007</v>
          </cell>
          <cell r="N66">
            <v>78.177205299999997</v>
          </cell>
        </row>
        <row r="67">
          <cell r="B67" t="str">
            <v>Avina</v>
          </cell>
          <cell r="C67" t="str">
            <v>Female</v>
          </cell>
          <cell r="I67" t="str">
            <v>19/10/1983</v>
          </cell>
          <cell r="J67" t="str">
            <v>01:35:40 PM</v>
          </cell>
          <cell r="L67">
            <v>5.5</v>
          </cell>
          <cell r="M67">
            <v>11.515867999999999</v>
          </cell>
          <cell r="N67">
            <v>79.326889399999999</v>
          </cell>
        </row>
        <row r="68">
          <cell r="B68" t="str">
            <v>Ayysamy Dr</v>
          </cell>
          <cell r="C68" t="str">
            <v>Male</v>
          </cell>
          <cell r="I68" t="str">
            <v>21/6/1964</v>
          </cell>
          <cell r="J68" t="str">
            <v>08:32:00 AM</v>
          </cell>
          <cell r="L68">
            <v>5.5</v>
          </cell>
          <cell r="M68">
            <v>11.5983184</v>
          </cell>
          <cell r="N68">
            <v>78.597435200000007</v>
          </cell>
        </row>
        <row r="69">
          <cell r="B69" t="str">
            <v>Baa</v>
          </cell>
          <cell r="C69" t="str">
            <v>Male</v>
          </cell>
          <cell r="I69" t="str">
            <v>19/10/1977</v>
          </cell>
          <cell r="J69" t="str">
            <v>10:35:45 PM</v>
          </cell>
          <cell r="L69">
            <v>5.5</v>
          </cell>
          <cell r="M69">
            <v>11.5389807</v>
          </cell>
          <cell r="N69">
            <v>79.479386099999999</v>
          </cell>
        </row>
        <row r="70">
          <cell r="B70" t="str">
            <v>Babu</v>
          </cell>
          <cell r="C70" t="str">
            <v>Male</v>
          </cell>
          <cell r="I70" t="str">
            <v>16/1/1991</v>
          </cell>
          <cell r="J70" t="str">
            <v>01:30:00 PM</v>
          </cell>
          <cell r="L70">
            <v>5.5</v>
          </cell>
          <cell r="M70">
            <v>12.7090575</v>
          </cell>
          <cell r="N70">
            <v>77.699226499999995</v>
          </cell>
        </row>
        <row r="71">
          <cell r="B71" t="str">
            <v>Babu/Siva</v>
          </cell>
          <cell r="C71" t="str">
            <v>Male</v>
          </cell>
          <cell r="I71" t="str">
            <v>4/1/1968</v>
          </cell>
          <cell r="J71">
            <v>0.73958333333333337</v>
          </cell>
          <cell r="L71">
            <v>5.5</v>
          </cell>
          <cell r="M71">
            <v>10.802777777777779</v>
          </cell>
          <cell r="N71">
            <v>78.704700000000003</v>
          </cell>
        </row>
        <row r="72">
          <cell r="B72" t="str">
            <v>Baby Ramesh</v>
          </cell>
          <cell r="C72" t="str">
            <v>Male</v>
          </cell>
          <cell r="I72" t="str">
            <v>5/8/2022</v>
          </cell>
          <cell r="J72" t="str">
            <v>02:45:00 PM</v>
          </cell>
          <cell r="L72">
            <v>5.5</v>
          </cell>
          <cell r="M72">
            <v>13.0417591</v>
          </cell>
          <cell r="N72">
            <v>80.234076099999996</v>
          </cell>
        </row>
        <row r="73">
          <cell r="B73" t="str">
            <v>Balakumaran</v>
          </cell>
          <cell r="C73" t="str">
            <v>Male</v>
          </cell>
          <cell r="I73" t="str">
            <v>16/7/1994</v>
          </cell>
          <cell r="J73" t="str">
            <v>10:05:00 AM</v>
          </cell>
          <cell r="L73">
            <v>5.5</v>
          </cell>
          <cell r="M73">
            <v>11.101770500000001</v>
          </cell>
          <cell r="N73">
            <v>79.652568599999995</v>
          </cell>
        </row>
        <row r="74">
          <cell r="B74" t="str">
            <v>Balambal</v>
          </cell>
          <cell r="C74" t="str">
            <v>Female</v>
          </cell>
          <cell r="I74" t="str">
            <v>22/9/1959</v>
          </cell>
          <cell r="J74" t="str">
            <v>08:53:00 AM</v>
          </cell>
          <cell r="L74">
            <v>5.5</v>
          </cell>
          <cell r="M74">
            <v>11.2390878</v>
          </cell>
          <cell r="N74">
            <v>79.736121699999998</v>
          </cell>
        </row>
        <row r="75">
          <cell r="B75" t="str">
            <v>Balamuralikrishna M</v>
          </cell>
          <cell r="C75" t="str">
            <v>Male</v>
          </cell>
          <cell r="I75" t="str">
            <v>6/7/1930</v>
          </cell>
          <cell r="J75" t="str">
            <v>06:40:00 PM</v>
          </cell>
          <cell r="L75">
            <v>5.5</v>
          </cell>
          <cell r="M75">
            <v>16.3915331</v>
          </cell>
          <cell r="N75">
            <v>81.852488199999996</v>
          </cell>
        </row>
        <row r="76">
          <cell r="B76" t="str">
            <v>Balasubramaniam</v>
          </cell>
          <cell r="C76" t="str">
            <v>Male</v>
          </cell>
          <cell r="I76" t="str">
            <v>11/12/1986</v>
          </cell>
          <cell r="J76" t="str">
            <v>05:55:00 AM</v>
          </cell>
          <cell r="L76">
            <v>5.5</v>
          </cell>
          <cell r="M76">
            <v>13.0382876</v>
          </cell>
          <cell r="N76">
            <v>80.220949899999994</v>
          </cell>
        </row>
        <row r="77">
          <cell r="B77" t="str">
            <v>Barack Obama</v>
          </cell>
          <cell r="C77" t="str">
            <v>Male</v>
          </cell>
          <cell r="I77" t="str">
            <v>4/8/1961</v>
          </cell>
          <cell r="J77">
            <v>0.80833333333333324</v>
          </cell>
          <cell r="L77">
            <v>-10</v>
          </cell>
          <cell r="M77">
            <v>21.315555555555555</v>
          </cell>
          <cell r="N77">
            <v>-157.85805555555555</v>
          </cell>
        </row>
        <row r="78">
          <cell r="B78" t="str">
            <v>Baskaran Thilak</v>
          </cell>
          <cell r="C78" t="str">
            <v>Male</v>
          </cell>
          <cell r="I78" t="str">
            <v>5/1/1964</v>
          </cell>
          <cell r="J78" t="str">
            <v>03:57:36 AM</v>
          </cell>
          <cell r="L78">
            <v>5.5</v>
          </cell>
          <cell r="M78">
            <v>10.010572</v>
          </cell>
          <cell r="N78">
            <v>77.349670799999998</v>
          </cell>
        </row>
        <row r="79">
          <cell r="B79" t="str">
            <v>BE.,M.TECH.,PHD., Divorce</v>
          </cell>
          <cell r="C79" t="str">
            <v>Male</v>
          </cell>
          <cell r="I79" t="str">
            <v>12/2/1982</v>
          </cell>
          <cell r="J79" t="str">
            <v>10:18:45 AM</v>
          </cell>
          <cell r="L79">
            <v>5.5</v>
          </cell>
          <cell r="M79">
            <v>12.6713363</v>
          </cell>
          <cell r="N79">
            <v>79.281758999999994</v>
          </cell>
        </row>
        <row r="80">
          <cell r="B80" t="str">
            <v>Bharani</v>
          </cell>
          <cell r="C80" t="str">
            <v>Female</v>
          </cell>
          <cell r="I80" t="str">
            <v>2/12/1968</v>
          </cell>
          <cell r="J80" t="str">
            <v>03:30:30 PM</v>
          </cell>
          <cell r="L80">
            <v>5.5</v>
          </cell>
          <cell r="M80">
            <v>13.0826802</v>
          </cell>
          <cell r="N80">
            <v>80.270718400000007</v>
          </cell>
        </row>
        <row r="81">
          <cell r="B81" t="str">
            <v>Bharathi  Valantina</v>
          </cell>
          <cell r="C81" t="str">
            <v>Female</v>
          </cell>
          <cell r="I81" t="str">
            <v>4/6/1995</v>
          </cell>
          <cell r="J81" t="str">
            <v>06:20:00 PM</v>
          </cell>
          <cell r="L81">
            <v>5.5</v>
          </cell>
          <cell r="M81">
            <v>11.7480419</v>
          </cell>
          <cell r="N81">
            <v>79.771368699999996</v>
          </cell>
        </row>
        <row r="82">
          <cell r="B82" t="str">
            <v>Bhaskar</v>
          </cell>
          <cell r="C82" t="str">
            <v>Male</v>
          </cell>
          <cell r="I82" t="str">
            <v>15/10/1999</v>
          </cell>
          <cell r="J82" t="str">
            <v>09:45:00 AM</v>
          </cell>
          <cell r="L82">
            <v>5.5</v>
          </cell>
          <cell r="M82">
            <v>12.5265661</v>
          </cell>
          <cell r="N82">
            <v>78.214957499999997</v>
          </cell>
        </row>
        <row r="83">
          <cell r="B83" t="str">
            <v>Aurobindo Ghose</v>
          </cell>
          <cell r="C83" t="str">
            <v>Male</v>
          </cell>
          <cell r="I83" t="str">
            <v>15/8/1872</v>
          </cell>
          <cell r="J83" t="str">
            <v>04:53:37 AM</v>
          </cell>
          <cell r="L83">
            <v>5.5</v>
          </cell>
          <cell r="M83">
            <v>22.699652</v>
          </cell>
          <cell r="N83">
            <v>88.318326099999993</v>
          </cell>
        </row>
        <row r="84">
          <cell r="B84" t="str">
            <v>Bhavana</v>
          </cell>
          <cell r="C84" t="str">
            <v>Female</v>
          </cell>
          <cell r="I84" t="str">
            <v>7/8/1996</v>
          </cell>
          <cell r="J84" t="str">
            <v>06:50:00 PM</v>
          </cell>
          <cell r="L84">
            <v>5.5</v>
          </cell>
          <cell r="M84">
            <v>13.2957137</v>
          </cell>
          <cell r="N84">
            <v>77.536390800000007</v>
          </cell>
        </row>
        <row r="85">
          <cell r="B85" t="str">
            <v>Bhuvaneswari</v>
          </cell>
          <cell r="C85" t="str">
            <v>Female</v>
          </cell>
          <cell r="I85" t="str">
            <v>9/6/1980</v>
          </cell>
          <cell r="J85" t="str">
            <v>08:20:00 PM</v>
          </cell>
          <cell r="L85">
            <v>5.5</v>
          </cell>
          <cell r="M85">
            <v>12.1210997</v>
          </cell>
          <cell r="N85">
            <v>78.158214299999997</v>
          </cell>
        </row>
        <row r="86">
          <cell r="B86" t="str">
            <v>Bhuvaneswari</v>
          </cell>
          <cell r="C86" t="str">
            <v>Female</v>
          </cell>
          <cell r="I86" t="str">
            <v>11/7/1966</v>
          </cell>
          <cell r="J86" t="str">
            <v>03:25:00 AM</v>
          </cell>
          <cell r="L86">
            <v>5.5</v>
          </cell>
          <cell r="M86">
            <v>17.439929500000002</v>
          </cell>
          <cell r="N86">
            <v>78.498274100000003</v>
          </cell>
        </row>
        <row r="87">
          <cell r="B87" t="str">
            <v>Bhuvaneswari Chandar</v>
          </cell>
          <cell r="C87" t="str">
            <v>Female</v>
          </cell>
          <cell r="I87" t="str">
            <v>4/10/1990</v>
          </cell>
          <cell r="J87" t="str">
            <v>10:21:00 PM</v>
          </cell>
          <cell r="L87">
            <v>5.5</v>
          </cell>
          <cell r="M87">
            <v>13.082831799999999</v>
          </cell>
          <cell r="N87">
            <v>80.241710499999996</v>
          </cell>
        </row>
        <row r="88">
          <cell r="B88" t="str">
            <v>Bill Gates</v>
          </cell>
          <cell r="C88" t="str">
            <v>Male</v>
          </cell>
          <cell r="I88" t="str">
            <v>28/10/1955</v>
          </cell>
          <cell r="J88" t="str">
            <v>09:21:30 PM</v>
          </cell>
          <cell r="L88">
            <v>5.5</v>
          </cell>
          <cell r="M88">
            <v>47.606209499999999</v>
          </cell>
          <cell r="N88">
            <v>-122.3320708</v>
          </cell>
        </row>
        <row r="89">
          <cell r="B89" t="str">
            <v>Bindumalini Giridhar</v>
          </cell>
          <cell r="C89" t="str">
            <v>Female</v>
          </cell>
          <cell r="I89" t="str">
            <v>14/10/1995</v>
          </cell>
          <cell r="J89" t="str">
            <v>01:59:00 PM</v>
          </cell>
          <cell r="L89">
            <v>5.5</v>
          </cell>
          <cell r="M89">
            <v>11.664325</v>
          </cell>
          <cell r="N89">
            <v>78.146014199999996</v>
          </cell>
        </row>
        <row r="90">
          <cell r="B90" t="str">
            <v>Biocon call</v>
          </cell>
          <cell r="C90" t="str">
            <v>Female</v>
          </cell>
          <cell r="I90" t="str">
            <v>4/9/2021</v>
          </cell>
          <cell r="J90" t="str">
            <v>09:23:00 PM</v>
          </cell>
          <cell r="L90">
            <v>5.5</v>
          </cell>
          <cell r="M90">
            <v>12.971598699999999</v>
          </cell>
          <cell r="N90">
            <v>77.594562699999997</v>
          </cell>
        </row>
        <row r="91">
          <cell r="B91" t="str">
            <v>boy</v>
          </cell>
          <cell r="C91" t="str">
            <v>Male</v>
          </cell>
          <cell r="I91" t="str">
            <v>21/11/1992</v>
          </cell>
          <cell r="J91" t="str">
            <v>02:20:00 PM</v>
          </cell>
          <cell r="L91">
            <v>5.5</v>
          </cell>
          <cell r="M91">
            <v>10.925439799999999</v>
          </cell>
          <cell r="N91">
            <v>79.838005600000002</v>
          </cell>
        </row>
        <row r="92">
          <cell r="B92" t="str">
            <v>Bramambal</v>
          </cell>
          <cell r="C92" t="str">
            <v>Male</v>
          </cell>
          <cell r="I92" t="str">
            <v>25/4/1995</v>
          </cell>
          <cell r="J92" t="str">
            <v>11:25:00 PM</v>
          </cell>
          <cell r="L92">
            <v>5.5</v>
          </cell>
          <cell r="M92">
            <v>10.925439799999999</v>
          </cell>
          <cell r="N92">
            <v>79.838005600000002</v>
          </cell>
        </row>
        <row r="93">
          <cell r="B93" t="str">
            <v>Brunda</v>
          </cell>
          <cell r="C93" t="str">
            <v>Female</v>
          </cell>
          <cell r="I93" t="str">
            <v>20/12/1998</v>
          </cell>
          <cell r="J93" t="str">
            <v>09:45:10 PM</v>
          </cell>
          <cell r="L93">
            <v>5.5</v>
          </cell>
          <cell r="M93">
            <v>12.526982500000001</v>
          </cell>
          <cell r="N93">
            <v>77.789853699999995</v>
          </cell>
        </row>
        <row r="94">
          <cell r="B94" t="str">
            <v>Chakrapani</v>
          </cell>
          <cell r="C94" t="str">
            <v>Male</v>
          </cell>
          <cell r="I94" t="str">
            <v>13/6/1968</v>
          </cell>
          <cell r="J94" t="str">
            <v>08:00:00 AM</v>
          </cell>
          <cell r="L94">
            <v>5.5</v>
          </cell>
          <cell r="M94">
            <v>17.069680900000002</v>
          </cell>
          <cell r="N94">
            <v>80.987596400000001</v>
          </cell>
        </row>
        <row r="95">
          <cell r="B95" t="str">
            <v>Chandramouli</v>
          </cell>
          <cell r="C95" t="str">
            <v>Male</v>
          </cell>
          <cell r="I95" t="str">
            <v>13/2/1992</v>
          </cell>
          <cell r="J95" t="str">
            <v>08:15:37 AM</v>
          </cell>
          <cell r="L95">
            <v>5.5</v>
          </cell>
          <cell r="M95">
            <v>11.941591499999999</v>
          </cell>
          <cell r="N95">
            <v>79.808313299999995</v>
          </cell>
        </row>
        <row r="96">
          <cell r="B96" t="str">
            <v>Chandrasekar</v>
          </cell>
          <cell r="C96" t="str">
            <v>Male</v>
          </cell>
          <cell r="I96" t="str">
            <v>12/11/1986</v>
          </cell>
          <cell r="J96" t="str">
            <v>07:18:00 PM</v>
          </cell>
          <cell r="L96">
            <v>5.5</v>
          </cell>
          <cell r="M96">
            <v>13.0521019</v>
          </cell>
          <cell r="N96">
            <v>80.225528600000004</v>
          </cell>
        </row>
        <row r="97">
          <cell r="B97" t="str">
            <v>Chandrasekar V</v>
          </cell>
          <cell r="C97" t="str">
            <v>Male</v>
          </cell>
          <cell r="I97" t="str">
            <v>8/1/1975</v>
          </cell>
          <cell r="J97" t="str">
            <v>09:56:00 AM</v>
          </cell>
          <cell r="L97">
            <v>5.5</v>
          </cell>
          <cell r="M97">
            <v>13.0382876</v>
          </cell>
          <cell r="N97">
            <v>80.220949899999994</v>
          </cell>
        </row>
        <row r="98">
          <cell r="B98" t="str">
            <v>Chandrasekhar</v>
          </cell>
          <cell r="C98" t="str">
            <v>Male</v>
          </cell>
          <cell r="I98" t="str">
            <v>21/5/1990</v>
          </cell>
          <cell r="J98" t="str">
            <v>10:21:00 PM</v>
          </cell>
          <cell r="L98">
            <v>5.5</v>
          </cell>
          <cell r="M98">
            <v>13.0826802</v>
          </cell>
          <cell r="N98">
            <v>80.270718400000007</v>
          </cell>
        </row>
        <row r="99">
          <cell r="B99" t="str">
            <v>CHIDAMBARAM P</v>
          </cell>
          <cell r="C99" t="str">
            <v>Male</v>
          </cell>
          <cell r="I99" t="str">
            <v>16/9/1945</v>
          </cell>
          <cell r="J99" t="str">
            <v>10:44:25 PM</v>
          </cell>
          <cell r="L99">
            <v>5.5</v>
          </cell>
          <cell r="M99">
            <v>10.172272700000001</v>
          </cell>
          <cell r="N99">
            <v>78.780615400000002</v>
          </cell>
        </row>
        <row r="100">
          <cell r="B100" t="str">
            <v>CHINTU</v>
          </cell>
          <cell r="C100" t="str">
            <v>Female</v>
          </cell>
          <cell r="I100" t="str">
            <v>4/8/1988</v>
          </cell>
          <cell r="J100" t="str">
            <v>12:30:00 AM</v>
          </cell>
          <cell r="L100">
            <v>5.5</v>
          </cell>
          <cell r="M100">
            <v>17.910393899999999</v>
          </cell>
          <cell r="N100">
            <v>77.519907900000007</v>
          </cell>
        </row>
        <row r="101">
          <cell r="B101" t="str">
            <v>Chitra</v>
          </cell>
          <cell r="C101" t="str">
            <v>Female</v>
          </cell>
          <cell r="I101" t="str">
            <v>17/4/1975</v>
          </cell>
          <cell r="J101" t="str">
            <v>02:40:00 AM</v>
          </cell>
          <cell r="L101">
            <v>5.5</v>
          </cell>
          <cell r="M101">
            <v>11.515867999999999</v>
          </cell>
          <cell r="N101">
            <v>79.326889399999999</v>
          </cell>
        </row>
        <row r="102">
          <cell r="B102" t="str">
            <v>Dayanandh Kumar M.R.O</v>
          </cell>
          <cell r="C102" t="str">
            <v>Male</v>
          </cell>
          <cell r="I102" t="str">
            <v>3/2/1995</v>
          </cell>
          <cell r="J102" t="str">
            <v>08:13:00 AM</v>
          </cell>
          <cell r="L102">
            <v>5.5</v>
          </cell>
          <cell r="M102">
            <v>9.9252006999999995</v>
          </cell>
          <cell r="N102">
            <v>78.119775399999995</v>
          </cell>
        </row>
        <row r="103">
          <cell r="B103" t="str">
            <v>DD_FIL</v>
          </cell>
          <cell r="C103" t="str">
            <v>Male</v>
          </cell>
          <cell r="I103" t="str">
            <v>18/12/1939</v>
          </cell>
          <cell r="J103" t="str">
            <v>08:30:32 PM</v>
          </cell>
          <cell r="L103">
            <v>5.5</v>
          </cell>
          <cell r="M103">
            <v>11.7480419</v>
          </cell>
          <cell r="N103">
            <v>79.771368699999996</v>
          </cell>
        </row>
        <row r="104">
          <cell r="B104" t="str">
            <v>Deepak</v>
          </cell>
          <cell r="C104" t="str">
            <v>Male</v>
          </cell>
          <cell r="I104" t="str">
            <v>30/8/1992</v>
          </cell>
          <cell r="J104" t="str">
            <v>10:32:00 AM</v>
          </cell>
          <cell r="L104">
            <v>5.5</v>
          </cell>
          <cell r="M104">
            <v>17.385044000000001</v>
          </cell>
          <cell r="N104">
            <v>78.486671000000001</v>
          </cell>
        </row>
        <row r="105">
          <cell r="B105" t="str">
            <v>Deepak Kiran Kumar</v>
          </cell>
          <cell r="C105" t="str">
            <v>Male</v>
          </cell>
          <cell r="I105" t="str">
            <v>27/5/1991</v>
          </cell>
          <cell r="J105" t="str">
            <v>02:20:00 AM</v>
          </cell>
          <cell r="L105">
            <v>5.5</v>
          </cell>
          <cell r="M105">
            <v>11.664325</v>
          </cell>
          <cell r="N105">
            <v>78.146014199999996</v>
          </cell>
        </row>
        <row r="106">
          <cell r="B106" t="str">
            <v>Deepthi</v>
          </cell>
          <cell r="C106" t="str">
            <v>Female</v>
          </cell>
          <cell r="I106" t="str">
            <v>18/5/1989</v>
          </cell>
          <cell r="J106" t="str">
            <v>08:55:25 AM</v>
          </cell>
          <cell r="L106">
            <v>5.5</v>
          </cell>
          <cell r="M106">
            <v>12.740912700000001</v>
          </cell>
          <cell r="N106">
            <v>77.825292300000001</v>
          </cell>
        </row>
        <row r="107">
          <cell r="B107" t="str">
            <v>DegreeSystem</v>
          </cell>
          <cell r="C107" t="str">
            <v>Male</v>
          </cell>
          <cell r="I107" t="str">
            <v>18/12/1949</v>
          </cell>
          <cell r="J107" t="str">
            <v>11:36:00 PM</v>
          </cell>
          <cell r="L107">
            <v>5.5</v>
          </cell>
          <cell r="M107">
            <v>11.409641199999999</v>
          </cell>
          <cell r="N107">
            <v>79.118159899999995</v>
          </cell>
        </row>
        <row r="108">
          <cell r="B108" t="str">
            <v>Delayed_Child_Birth</v>
          </cell>
          <cell r="C108" t="str">
            <v>Female</v>
          </cell>
          <cell r="I108" t="str">
            <v>8/2/1960</v>
          </cell>
          <cell r="J108" t="str">
            <v>07:30:08 PM</v>
          </cell>
          <cell r="L108">
            <v>5.5</v>
          </cell>
          <cell r="M108">
            <v>12.9427995</v>
          </cell>
          <cell r="N108">
            <v>78.868161400000005</v>
          </cell>
        </row>
        <row r="109">
          <cell r="B109" t="str">
            <v>Devaraj</v>
          </cell>
          <cell r="C109" t="str">
            <v>Male</v>
          </cell>
          <cell r="I109" t="str">
            <v>12/11/1972</v>
          </cell>
          <cell r="J109" t="str">
            <v>05:03:50 AM</v>
          </cell>
          <cell r="L109">
            <v>5.5</v>
          </cell>
          <cell r="M109">
            <v>12.6713363</v>
          </cell>
          <cell r="N109">
            <v>79.281758999999994</v>
          </cell>
        </row>
        <row r="110">
          <cell r="B110" t="str">
            <v>Dhalapathiraja Rajan</v>
          </cell>
          <cell r="C110" t="str">
            <v>Male</v>
          </cell>
          <cell r="I110" t="str">
            <v>9/4/1981</v>
          </cell>
          <cell r="J110" t="str">
            <v>04:10:00 PM</v>
          </cell>
          <cell r="L110">
            <v>5.5</v>
          </cell>
          <cell r="M110">
            <v>11.407044900000001</v>
          </cell>
          <cell r="N110">
            <v>79.691245499999994</v>
          </cell>
        </row>
        <row r="111">
          <cell r="B111" t="str">
            <v>Dhanalakshmi</v>
          </cell>
          <cell r="C111" t="str">
            <v>Female</v>
          </cell>
          <cell r="I111" t="str">
            <v>19/8/1979</v>
          </cell>
          <cell r="J111" t="str">
            <v>10:15:00 AM</v>
          </cell>
          <cell r="L111">
            <v>5.5</v>
          </cell>
          <cell r="M111">
            <v>10.925439799999999</v>
          </cell>
          <cell r="N111">
            <v>79.838005600000002</v>
          </cell>
        </row>
        <row r="112">
          <cell r="B112" t="str">
            <v>Dhanishka LR</v>
          </cell>
          <cell r="C112" t="str">
            <v>Female</v>
          </cell>
          <cell r="I112" t="str">
            <v>16/5/2011</v>
          </cell>
          <cell r="J112" t="str">
            <v>05:49:59 AM</v>
          </cell>
          <cell r="L112">
            <v>5.5</v>
          </cell>
          <cell r="M112">
            <v>10.850266100000001</v>
          </cell>
          <cell r="N112">
            <v>78.699769900000007</v>
          </cell>
        </row>
        <row r="113">
          <cell r="B113" t="str">
            <v>Dhanush Dr</v>
          </cell>
          <cell r="C113" t="str">
            <v>Male</v>
          </cell>
          <cell r="I113" t="str">
            <v>2/3/1993</v>
          </cell>
          <cell r="J113" t="str">
            <v>02:07:00 PM</v>
          </cell>
          <cell r="L113">
            <v>5.5</v>
          </cell>
          <cell r="M113">
            <v>12.1210997</v>
          </cell>
          <cell r="N113">
            <v>78.158214299999997</v>
          </cell>
        </row>
        <row r="114">
          <cell r="B114" t="str">
            <v>Dharani</v>
          </cell>
          <cell r="C114" t="str">
            <v>Female</v>
          </cell>
          <cell r="I114" t="str">
            <v>10/11/1996</v>
          </cell>
          <cell r="J114" t="str">
            <v>02:00:00 PM</v>
          </cell>
          <cell r="L114">
            <v>5.5</v>
          </cell>
          <cell r="M114">
            <v>11.7383735</v>
          </cell>
          <cell r="N114">
            <v>78.963889899999998</v>
          </cell>
        </row>
        <row r="115">
          <cell r="B115" t="str">
            <v>Dharani Chandra</v>
          </cell>
          <cell r="C115" t="str">
            <v>Female</v>
          </cell>
          <cell r="I115" t="str">
            <v>1/4/1991</v>
          </cell>
          <cell r="J115" t="str">
            <v>09:53:00 AM</v>
          </cell>
          <cell r="L115">
            <v>5.5</v>
          </cell>
          <cell r="M115">
            <v>11.664325</v>
          </cell>
          <cell r="N115">
            <v>78.146014199999996</v>
          </cell>
        </row>
        <row r="116">
          <cell r="B116" t="str">
            <v>Dharmapala</v>
          </cell>
          <cell r="C116" t="str">
            <v>Male</v>
          </cell>
          <cell r="I116" t="str">
            <v>22/11/1960</v>
          </cell>
          <cell r="J116" t="str">
            <v>12:34:00 PM</v>
          </cell>
          <cell r="L116">
            <v>5.5</v>
          </cell>
          <cell r="M116">
            <v>12.526982500000001</v>
          </cell>
          <cell r="N116">
            <v>77.789853699999995</v>
          </cell>
        </row>
        <row r="117">
          <cell r="B117" t="str">
            <v>Dhavamani</v>
          </cell>
          <cell r="C117" t="str">
            <v>Male</v>
          </cell>
          <cell r="I117" t="str">
            <v>8/1/1965</v>
          </cell>
          <cell r="J117" t="str">
            <v>07:41:29 PM</v>
          </cell>
          <cell r="L117">
            <v>5.5</v>
          </cell>
          <cell r="M117">
            <v>11.941591499999999</v>
          </cell>
          <cell r="N117">
            <v>79.808313299999995</v>
          </cell>
        </row>
        <row r="118">
          <cell r="B118" t="str">
            <v>Dhirubai Ambani</v>
          </cell>
          <cell r="C118" t="str">
            <v>Male</v>
          </cell>
          <cell r="I118" t="str">
            <v>28/12/1932</v>
          </cell>
          <cell r="J118" t="str">
            <v>06:37:00 AM</v>
          </cell>
          <cell r="L118">
            <v>5.5</v>
          </cell>
          <cell r="M118">
            <v>21.030125099999999</v>
          </cell>
          <cell r="N118">
            <v>70.233357699999999</v>
          </cell>
        </row>
        <row r="119">
          <cell r="B119" t="str">
            <v>Dhivya Sivalingam</v>
          </cell>
          <cell r="C119" t="str">
            <v>Female</v>
          </cell>
          <cell r="I119" t="str">
            <v>14/6/1982</v>
          </cell>
          <cell r="J119">
            <v>0.84027777777777779</v>
          </cell>
          <cell r="L119">
            <v>5.5</v>
          </cell>
          <cell r="M119">
            <v>12.780200000000001</v>
          </cell>
          <cell r="N119">
            <v>78.717699999999994</v>
          </cell>
        </row>
        <row r="120">
          <cell r="B120" t="str">
            <v>Dinesh Kumar</v>
          </cell>
          <cell r="C120" t="str">
            <v>Male</v>
          </cell>
          <cell r="I120" t="str">
            <v>6/8/1992</v>
          </cell>
          <cell r="J120" t="str">
            <v>02:42:00 PM</v>
          </cell>
          <cell r="L120">
            <v>5.5</v>
          </cell>
          <cell r="M120">
            <v>13.0826802</v>
          </cell>
          <cell r="N120">
            <v>80.270718400000007</v>
          </cell>
        </row>
        <row r="121">
          <cell r="B121" t="str">
            <v>Dinesh Kumar</v>
          </cell>
          <cell r="C121" t="str">
            <v>Male</v>
          </cell>
          <cell r="I121" t="str">
            <v>7/1/1994</v>
          </cell>
          <cell r="J121" t="str">
            <v>09:10:00 AM</v>
          </cell>
          <cell r="L121">
            <v>5.5</v>
          </cell>
          <cell r="M121">
            <v>13.0826802</v>
          </cell>
          <cell r="N121">
            <v>80.270718400000007</v>
          </cell>
        </row>
        <row r="122">
          <cell r="B122" t="str">
            <v>Dinesh Prabhakar</v>
          </cell>
          <cell r="C122" t="str">
            <v>Male</v>
          </cell>
          <cell r="I122" t="str">
            <v>21/8/1996</v>
          </cell>
          <cell r="J122" t="str">
            <v>01:04:00 AM</v>
          </cell>
          <cell r="L122">
            <v>5.5</v>
          </cell>
          <cell r="M122">
            <v>10.4232271</v>
          </cell>
          <cell r="N122">
            <v>79.319998499999997</v>
          </cell>
        </row>
        <row r="123">
          <cell r="B123" t="str">
            <v>Divya Venkataramani</v>
          </cell>
          <cell r="C123" t="str">
            <v>Female</v>
          </cell>
          <cell r="I123" t="str">
            <v>7/8/1994</v>
          </cell>
          <cell r="J123" t="str">
            <v>12:47:00 PM</v>
          </cell>
          <cell r="L123">
            <v>5.5</v>
          </cell>
          <cell r="M123">
            <v>18.520430300000001</v>
          </cell>
          <cell r="N123">
            <v>73.856743699999996</v>
          </cell>
        </row>
        <row r="124">
          <cell r="B124" t="str">
            <v>DIYA SHANTINI</v>
          </cell>
          <cell r="C124" t="str">
            <v>Female</v>
          </cell>
          <cell r="I124" t="str">
            <v>5/9/1992</v>
          </cell>
          <cell r="J124" t="str">
            <v>04:03:58 PM</v>
          </cell>
          <cell r="L124">
            <v>5.5</v>
          </cell>
          <cell r="M124">
            <v>11.941591499999999</v>
          </cell>
          <cell r="N124">
            <v>79.808313299999995</v>
          </cell>
        </row>
        <row r="125">
          <cell r="B125" t="str">
            <v>Dr.B.V.Raman</v>
          </cell>
          <cell r="C125" t="str">
            <v>Male</v>
          </cell>
          <cell r="I125" t="str">
            <v>8/8/1912</v>
          </cell>
          <cell r="J125">
            <v>0.81458333333333333</v>
          </cell>
          <cell r="L125">
            <v>5.5</v>
          </cell>
          <cell r="M125">
            <v>12.983333333333333</v>
          </cell>
          <cell r="N125">
            <v>77.583333333333329</v>
          </cell>
        </row>
        <row r="126">
          <cell r="B126" t="str">
            <v>DUMB FROM BIRTH</v>
          </cell>
          <cell r="C126" t="str">
            <v>Male</v>
          </cell>
          <cell r="I126" t="str">
            <v>25/10/1986</v>
          </cell>
          <cell r="J126" t="str">
            <v>03:40:50 PM</v>
          </cell>
          <cell r="L126">
            <v>5.5</v>
          </cell>
          <cell r="M126">
            <v>12.818455999999999</v>
          </cell>
          <cell r="N126">
            <v>79.694658599999997</v>
          </cell>
        </row>
        <row r="127">
          <cell r="B127" t="str">
            <v>Durgaa sriee M.R.O</v>
          </cell>
          <cell r="C127" t="str">
            <v>Female</v>
          </cell>
          <cell r="I127" t="str">
            <v>8/11/1999</v>
          </cell>
          <cell r="J127" t="str">
            <v>06:58:00 PM</v>
          </cell>
          <cell r="L127">
            <v>5.5</v>
          </cell>
          <cell r="M127">
            <v>9.9252006999999995</v>
          </cell>
          <cell r="N127">
            <v>78.119775399999995</v>
          </cell>
        </row>
        <row r="128">
          <cell r="B128" t="str">
            <v>Elon Musk</v>
          </cell>
          <cell r="C128" t="str">
            <v>Male</v>
          </cell>
          <cell r="I128" t="str">
            <v>28/6/1971</v>
          </cell>
          <cell r="J128" t="str">
            <v>12:08:00 PM</v>
          </cell>
          <cell r="L128">
            <v>5.5</v>
          </cell>
          <cell r="M128">
            <v>-25.747867599999999</v>
          </cell>
          <cell r="N128">
            <v>28.229271199999999</v>
          </cell>
        </row>
        <row r="129">
          <cell r="B129" t="str">
            <v>Eswar Anand</v>
          </cell>
          <cell r="C129" t="str">
            <v>Male</v>
          </cell>
          <cell r="I129" t="str">
            <v>13/9/1993</v>
          </cell>
          <cell r="J129" t="str">
            <v>03:45:00 PM</v>
          </cell>
          <cell r="L129">
            <v>5.5</v>
          </cell>
          <cell r="M129">
            <v>12.818455999999999</v>
          </cell>
          <cell r="N129">
            <v>79.694658599999997</v>
          </cell>
        </row>
        <row r="130">
          <cell r="B130" t="str">
            <v>Ex_p56_CalculationofLongevity</v>
          </cell>
          <cell r="C130" t="str">
            <v>Male</v>
          </cell>
          <cell r="I130" t="str">
            <v>4/5/1990</v>
          </cell>
          <cell r="J130">
            <v>0.18402777777777779</v>
          </cell>
          <cell r="L130">
            <v>5.5</v>
          </cell>
          <cell r="M130">
            <v>28.7041</v>
          </cell>
          <cell r="N130">
            <v>77.102500000000006</v>
          </cell>
        </row>
        <row r="131">
          <cell r="B131" t="str">
            <v>Ex2</v>
          </cell>
          <cell r="C131" t="str">
            <v>Male</v>
          </cell>
          <cell r="I131" t="str">
            <v>6/8/1905</v>
          </cell>
          <cell r="J131">
            <v>0.5756944444444444</v>
          </cell>
          <cell r="L131">
            <v>5.5</v>
          </cell>
          <cell r="M131">
            <v>12.983333333333333</v>
          </cell>
          <cell r="N131">
            <v>77.583333333333329</v>
          </cell>
        </row>
        <row r="132">
          <cell r="B132" t="str">
            <v>ExampleAstMag.March1984 p 257</v>
          </cell>
          <cell r="C132" t="str">
            <v>Male</v>
          </cell>
          <cell r="I132" t="str">
            <v>11/10/1930</v>
          </cell>
          <cell r="J132">
            <v>0.67291666666666661</v>
          </cell>
          <cell r="L132">
            <v>5.5</v>
          </cell>
          <cell r="M132">
            <v>22</v>
          </cell>
          <cell r="N132">
            <v>78.083333333333329</v>
          </cell>
        </row>
        <row r="133">
          <cell r="B133" t="str">
            <v>Example-BPHS-Santhanam-p419</v>
          </cell>
          <cell r="C133" t="str">
            <v>Male</v>
          </cell>
          <cell r="I133" t="str">
            <v>21/5/1944</v>
          </cell>
          <cell r="J133">
            <v>0.75086805555555547</v>
          </cell>
          <cell r="L133">
            <v>5.5</v>
          </cell>
          <cell r="M133">
            <v>13.666666666666666</v>
          </cell>
          <cell r="N133">
            <v>79.333333333333329</v>
          </cell>
        </row>
        <row r="134">
          <cell r="B134" t="str">
            <v>Fits</v>
          </cell>
          <cell r="C134" t="str">
            <v>Male</v>
          </cell>
          <cell r="I134" t="str">
            <v>25/12/1987</v>
          </cell>
          <cell r="J134" t="str">
            <v>07:28:45 PM</v>
          </cell>
          <cell r="L134">
            <v>5.5</v>
          </cell>
          <cell r="M134">
            <v>8.7139126000000005</v>
          </cell>
          <cell r="N134">
            <v>77.756652299999999</v>
          </cell>
        </row>
        <row r="135">
          <cell r="B135" t="str">
            <v>Ganapathy Subramanian</v>
          </cell>
          <cell r="C135" t="str">
            <v>Male</v>
          </cell>
          <cell r="I135" t="str">
            <v>8/7/1961</v>
          </cell>
          <cell r="J135" t="str">
            <v>09:16:30 PM</v>
          </cell>
          <cell r="L135">
            <v>5.5</v>
          </cell>
          <cell r="M135">
            <v>10.7904833</v>
          </cell>
          <cell r="N135">
            <v>78.704672500000001</v>
          </cell>
        </row>
        <row r="136">
          <cell r="B136" t="str">
            <v>Gandhi MK</v>
          </cell>
          <cell r="C136" t="str">
            <v>Male</v>
          </cell>
          <cell r="I136" t="str">
            <v>2/10/1869</v>
          </cell>
          <cell r="J136">
            <v>0.31995370370370368</v>
          </cell>
          <cell r="L136">
            <v>4.6333333333333329</v>
          </cell>
          <cell r="M136">
            <v>21.633333333333333</v>
          </cell>
          <cell r="N136">
            <v>69.599999999999994</v>
          </cell>
        </row>
        <row r="137">
          <cell r="B137" t="str">
            <v>Gandhi Madhavan ref</v>
          </cell>
          <cell r="C137" t="str">
            <v>Male</v>
          </cell>
          <cell r="I137" t="str">
            <v>11/2/1957</v>
          </cell>
          <cell r="J137" t="str">
            <v>08:47:30 AM</v>
          </cell>
          <cell r="L137">
            <v>5.5</v>
          </cell>
          <cell r="M137">
            <v>21.633333333333333</v>
          </cell>
          <cell r="N137">
            <v>78.146014199999996</v>
          </cell>
        </row>
        <row r="138">
          <cell r="B138" t="str">
            <v>Ganesan NK</v>
          </cell>
          <cell r="C138" t="str">
            <v>Male</v>
          </cell>
          <cell r="I138" t="str">
            <v>14/10/1946</v>
          </cell>
          <cell r="J138" t="str">
            <v>11:52:30 PM</v>
          </cell>
          <cell r="L138">
            <v>5.5</v>
          </cell>
          <cell r="M138">
            <v>12.2266754</v>
          </cell>
          <cell r="N138">
            <v>79.650354300000004</v>
          </cell>
        </row>
        <row r="139">
          <cell r="B139" t="str">
            <v>Ganesan Srinivasan</v>
          </cell>
          <cell r="C139" t="str">
            <v>Male</v>
          </cell>
          <cell r="I139" t="str">
            <v>25/11/1963</v>
          </cell>
          <cell r="J139" t="str">
            <v>09:54:00 PM</v>
          </cell>
          <cell r="L139">
            <v>5.5</v>
          </cell>
          <cell r="M139">
            <v>10.79</v>
          </cell>
          <cell r="N139">
            <v>79.849999999999994</v>
          </cell>
        </row>
        <row r="140">
          <cell r="B140" t="str">
            <v>Ganesh</v>
          </cell>
          <cell r="C140" t="str">
            <v>Male</v>
          </cell>
          <cell r="I140" t="str">
            <v>20/7/1991</v>
          </cell>
          <cell r="J140" t="str">
            <v>06:38:00 PM</v>
          </cell>
          <cell r="L140">
            <v>5.5</v>
          </cell>
          <cell r="M140">
            <v>12.916516700000001</v>
          </cell>
          <cell r="N140">
            <v>79.132498600000005</v>
          </cell>
        </row>
        <row r="141">
          <cell r="B141" t="str">
            <v>Ganesh Kale</v>
          </cell>
          <cell r="C141" t="str">
            <v>Male</v>
          </cell>
          <cell r="I141" t="str">
            <v>23/3/1937</v>
          </cell>
          <cell r="J141">
            <v>0.58263888888888882</v>
          </cell>
          <cell r="L141">
            <v>5.5</v>
          </cell>
          <cell r="M141">
            <v>9.9252000000000002</v>
          </cell>
          <cell r="N141">
            <v>78.119799999999998</v>
          </cell>
        </row>
        <row r="142">
          <cell r="B142" t="str">
            <v>Einstein</v>
          </cell>
          <cell r="C142" t="str">
            <v>Male</v>
          </cell>
          <cell r="I142" t="str">
            <v>14/3/1879</v>
          </cell>
          <cell r="J142" t="str">
            <v>11:30:00 AM</v>
          </cell>
          <cell r="L142">
            <v>5.5</v>
          </cell>
          <cell r="M142">
            <v>47.431714300000003</v>
          </cell>
          <cell r="N142">
            <v>-111.50890769999999</v>
          </cell>
        </row>
        <row r="143">
          <cell r="B143" t="str">
            <v>Gauri</v>
          </cell>
          <cell r="C143" t="str">
            <v>Female</v>
          </cell>
          <cell r="I143" t="str">
            <v>5/8/1978</v>
          </cell>
          <cell r="J143" t="str">
            <v>12:25:00 PM</v>
          </cell>
          <cell r="L143">
            <v>5.5</v>
          </cell>
          <cell r="M143">
            <v>30.339780900000001</v>
          </cell>
          <cell r="N143">
            <v>76.386879699999994</v>
          </cell>
        </row>
        <row r="144">
          <cell r="B144" t="str">
            <v>Gavaskar Sunil Manohar</v>
          </cell>
          <cell r="C144" t="str">
            <v>Male</v>
          </cell>
          <cell r="I144" t="str">
            <v>10/7/1949</v>
          </cell>
          <cell r="J144" t="str">
            <v>08:42:00 PM</v>
          </cell>
          <cell r="L144">
            <v>5.5</v>
          </cell>
          <cell r="M144">
            <v>19.199821100000001</v>
          </cell>
          <cell r="N144">
            <v>72.842594000000005</v>
          </cell>
        </row>
        <row r="145">
          <cell r="B145" t="str">
            <v>Gayathri</v>
          </cell>
          <cell r="C145" t="str">
            <v>Female</v>
          </cell>
          <cell r="I145" t="str">
            <v>7/8/1971</v>
          </cell>
          <cell r="J145">
            <v>0.71527777777777779</v>
          </cell>
          <cell r="L145">
            <v>5.5</v>
          </cell>
          <cell r="M145">
            <v>10.4232271</v>
          </cell>
          <cell r="N145">
            <v>79.319998499999997</v>
          </cell>
        </row>
        <row r="146">
          <cell r="B146" t="str">
            <v>Gayathri</v>
          </cell>
          <cell r="C146" t="str">
            <v>Female</v>
          </cell>
          <cell r="I146" t="str">
            <v>27/7/1992</v>
          </cell>
          <cell r="J146" t="str">
            <v>04:20:23 PM</v>
          </cell>
          <cell r="L146">
            <v>5.5</v>
          </cell>
          <cell r="M146">
            <v>11.664325</v>
          </cell>
          <cell r="N146">
            <v>78.146014199999996</v>
          </cell>
        </row>
        <row r="147">
          <cell r="B147" t="str">
            <v>Gayatri</v>
          </cell>
          <cell r="C147" t="str">
            <v>Female</v>
          </cell>
          <cell r="I147" t="str">
            <v>1/12/1996</v>
          </cell>
          <cell r="J147" t="str">
            <v>03:56:00 AM</v>
          </cell>
          <cell r="L147">
            <v>5.5</v>
          </cell>
          <cell r="M147">
            <v>13.0826802</v>
          </cell>
          <cell r="N147">
            <v>80.270718400000007</v>
          </cell>
        </row>
        <row r="148">
          <cell r="B148" t="str">
            <v>Gandhi Mohandas Karamchand</v>
          </cell>
          <cell r="C148" t="str">
            <v>Male</v>
          </cell>
          <cell r="I148" t="str">
            <v>2/10/1869</v>
          </cell>
          <cell r="J148" t="str">
            <v>07:45:00 AM</v>
          </cell>
          <cell r="L148">
            <v>5.5</v>
          </cell>
          <cell r="M148">
            <v>21.6416979</v>
          </cell>
          <cell r="N148">
            <v>69.629305900000006</v>
          </cell>
        </row>
        <row r="149">
          <cell r="B149" t="str">
            <v>Gayu</v>
          </cell>
          <cell r="C149" t="str">
            <v>Male</v>
          </cell>
          <cell r="I149" t="str">
            <v>7/1/1979</v>
          </cell>
          <cell r="J149" t="str">
            <v>11:58:02 AM</v>
          </cell>
          <cell r="L149">
            <v>5.5</v>
          </cell>
          <cell r="M149">
            <v>12.971598699999999</v>
          </cell>
          <cell r="N149">
            <v>77.594562699999997</v>
          </cell>
        </row>
        <row r="150">
          <cell r="B150" t="str">
            <v>Geetha</v>
          </cell>
          <cell r="C150" t="str">
            <v>Female</v>
          </cell>
          <cell r="I150" t="str">
            <v>16/8/1983</v>
          </cell>
          <cell r="J150" t="str">
            <v>03:17:00 AM</v>
          </cell>
          <cell r="L150">
            <v>5.5</v>
          </cell>
          <cell r="M150">
            <v>10.4232271</v>
          </cell>
          <cell r="N150">
            <v>79.319998499999997</v>
          </cell>
        </row>
        <row r="151">
          <cell r="B151" t="str">
            <v>Geetha_Shankar</v>
          </cell>
          <cell r="C151" t="str">
            <v>Female</v>
          </cell>
          <cell r="I151" t="str">
            <v>6/6/1966</v>
          </cell>
          <cell r="J151" t="str">
            <v>01:30:00 PM</v>
          </cell>
          <cell r="L151">
            <v>5.5</v>
          </cell>
          <cell r="M151">
            <v>12.9249308</v>
          </cell>
          <cell r="N151">
            <v>80.100002599999996</v>
          </cell>
        </row>
        <row r="152">
          <cell r="B152" t="str">
            <v>Geetika Yadav</v>
          </cell>
          <cell r="C152" t="str">
            <v>Female</v>
          </cell>
          <cell r="I152" t="str">
            <v>14/3/1991</v>
          </cell>
          <cell r="J152" t="str">
            <v>08:18:45 PM</v>
          </cell>
          <cell r="L152">
            <v>5.5</v>
          </cell>
          <cell r="M152">
            <v>28.1919738</v>
          </cell>
          <cell r="N152">
            <v>76.619077399999995</v>
          </cell>
        </row>
        <row r="153">
          <cell r="B153" t="str">
            <v>Giridhar Narendra</v>
          </cell>
          <cell r="C153" t="str">
            <v>Male</v>
          </cell>
          <cell r="I153" t="str">
            <v>17/3/2007</v>
          </cell>
          <cell r="J153" t="str">
            <v>08:20:00 AM</v>
          </cell>
          <cell r="L153">
            <v>5.5</v>
          </cell>
          <cell r="M153">
            <v>12.957754899999999</v>
          </cell>
          <cell r="N153">
            <v>77.599250499999997</v>
          </cell>
        </row>
        <row r="154">
          <cell r="B154" t="str">
            <v>Girl</v>
          </cell>
          <cell r="C154" t="str">
            <v>Male</v>
          </cell>
          <cell r="I154" t="str">
            <v>19/8/1994</v>
          </cell>
          <cell r="J154" t="str">
            <v>10:23:00 AM</v>
          </cell>
          <cell r="L154">
            <v>5.5</v>
          </cell>
          <cell r="M154">
            <v>12.576275499999999</v>
          </cell>
          <cell r="N154">
            <v>77.342828299999994</v>
          </cell>
        </row>
        <row r="155">
          <cell r="B155" t="str">
            <v>Gnyanaminakshi</v>
          </cell>
          <cell r="C155" t="str">
            <v>Female</v>
          </cell>
          <cell r="I155" t="str">
            <v>14/1/1969</v>
          </cell>
          <cell r="J155" t="str">
            <v>09:16:00 PM</v>
          </cell>
          <cell r="L155">
            <v>5.5</v>
          </cell>
          <cell r="M155">
            <v>12.5265661</v>
          </cell>
          <cell r="N155">
            <v>78.214957499999997</v>
          </cell>
        </row>
        <row r="156">
          <cell r="B156" t="str">
            <v>Gokila</v>
          </cell>
          <cell r="C156" t="str">
            <v>Female</v>
          </cell>
          <cell r="I156" t="str">
            <v>10/7/2000</v>
          </cell>
          <cell r="J156" t="str">
            <v>03:50:00 AM</v>
          </cell>
          <cell r="L156">
            <v>5.5</v>
          </cell>
          <cell r="M156">
            <v>13.0826802</v>
          </cell>
          <cell r="N156">
            <v>80.270718400000007</v>
          </cell>
        </row>
        <row r="157">
          <cell r="B157" t="str">
            <v>Gopalakrishnan</v>
          </cell>
          <cell r="C157" t="str">
            <v>Male</v>
          </cell>
          <cell r="I157" t="str">
            <v>5/2/1988</v>
          </cell>
          <cell r="J157" t="str">
            <v>08:20:00 AM</v>
          </cell>
          <cell r="L157">
            <v>5.5</v>
          </cell>
          <cell r="M157">
            <v>13.0826802</v>
          </cell>
          <cell r="N157">
            <v>80.270718400000007</v>
          </cell>
        </row>
        <row r="158">
          <cell r="B158" t="str">
            <v>Gopalakrishnan L</v>
          </cell>
          <cell r="C158" t="str">
            <v>Male</v>
          </cell>
          <cell r="I158" t="str">
            <v>29/5/1975</v>
          </cell>
          <cell r="J158">
            <v>0.21614583333333334</v>
          </cell>
          <cell r="L158">
            <v>5.5</v>
          </cell>
          <cell r="M158">
            <v>11.6</v>
          </cell>
          <cell r="N158">
            <v>79.489999999999995</v>
          </cell>
        </row>
        <row r="159">
          <cell r="B159" t="str">
            <v>GOPALAKRISHNAN R</v>
          </cell>
          <cell r="C159" t="str">
            <v>Male</v>
          </cell>
          <cell r="I159" t="str">
            <v>30/7/1945</v>
          </cell>
          <cell r="J159" t="str">
            <v>07:30:07 AM</v>
          </cell>
          <cell r="L159">
            <v>5.5</v>
          </cell>
          <cell r="M159">
            <v>10.7904833</v>
          </cell>
          <cell r="N159">
            <v>78.704672500000001</v>
          </cell>
        </row>
        <row r="160">
          <cell r="B160" t="str">
            <v>Gowri</v>
          </cell>
          <cell r="C160" t="str">
            <v>Female</v>
          </cell>
          <cell r="I160" t="str">
            <v>5/11/1955</v>
          </cell>
          <cell r="J160" t="str">
            <v>09:18:20 PM</v>
          </cell>
          <cell r="L160">
            <v>5.5</v>
          </cell>
          <cell r="M160">
            <v>17.439929500000002</v>
          </cell>
          <cell r="N160">
            <v>78.498274100000003</v>
          </cell>
        </row>
        <row r="161">
          <cell r="B161" t="str">
            <v>Gowrikanthan</v>
          </cell>
          <cell r="C161" t="str">
            <v>Male</v>
          </cell>
          <cell r="I161" t="str">
            <v>24/4/1982</v>
          </cell>
          <cell r="J161" t="str">
            <v>01:40:20 AM</v>
          </cell>
          <cell r="L161">
            <v>5.5</v>
          </cell>
          <cell r="M161">
            <v>16.506174300000001</v>
          </cell>
          <cell r="N161">
            <v>80.648015299999997</v>
          </cell>
        </row>
        <row r="162">
          <cell r="B162" t="str">
            <v>Gowtham</v>
          </cell>
          <cell r="C162" t="str">
            <v>Male</v>
          </cell>
          <cell r="I162" t="str">
            <v>26/1/1994</v>
          </cell>
          <cell r="J162" t="str">
            <v>10:18:00 PM</v>
          </cell>
          <cell r="L162">
            <v>5.5</v>
          </cell>
          <cell r="M162">
            <v>13.0826802</v>
          </cell>
          <cell r="N162">
            <v>80.270718400000007</v>
          </cell>
        </row>
        <row r="163">
          <cell r="B163" t="str">
            <v>Gowthami</v>
          </cell>
          <cell r="C163" t="str">
            <v>Female</v>
          </cell>
          <cell r="I163" t="str">
            <v>24/5/1996</v>
          </cell>
          <cell r="J163" t="str">
            <v>06:06:00 PM</v>
          </cell>
          <cell r="L163">
            <v>5.5</v>
          </cell>
          <cell r="M163">
            <v>11.664325</v>
          </cell>
          <cell r="N163">
            <v>78.146014199999996</v>
          </cell>
        </row>
        <row r="164">
          <cell r="B164" t="str">
            <v>Gu</v>
          </cell>
          <cell r="C164" t="str">
            <v>Male</v>
          </cell>
          <cell r="I164" t="str">
            <v>21/9/1989</v>
          </cell>
          <cell r="J164" t="str">
            <v>11:09:50 PM</v>
          </cell>
          <cell r="L164">
            <v>5.5</v>
          </cell>
          <cell r="M164">
            <v>13.0367914</v>
          </cell>
          <cell r="N164">
            <v>80.267630299999993</v>
          </cell>
        </row>
        <row r="165">
          <cell r="B165" t="str">
            <v>Guru Prasad</v>
          </cell>
          <cell r="C165" t="str">
            <v>Male</v>
          </cell>
          <cell r="I165" t="str">
            <v>2/12/1983</v>
          </cell>
          <cell r="J165" t="str">
            <v>01:10:00 AM</v>
          </cell>
          <cell r="L165">
            <v>5.5</v>
          </cell>
          <cell r="M165">
            <v>17.439929500000002</v>
          </cell>
          <cell r="N165">
            <v>78.498274100000003</v>
          </cell>
        </row>
        <row r="166">
          <cell r="B166" t="str">
            <v>Gurumoorthy Ramasubban</v>
          </cell>
          <cell r="C166" t="str">
            <v>Male</v>
          </cell>
          <cell r="I166" t="str">
            <v>5/1/1961</v>
          </cell>
          <cell r="J166">
            <v>0.11805555555555557</v>
          </cell>
          <cell r="L166">
            <v>5.5</v>
          </cell>
          <cell r="M166">
            <v>13.0826802</v>
          </cell>
          <cell r="N166">
            <v>80.270718400000007</v>
          </cell>
        </row>
        <row r="167">
          <cell r="B167" t="str">
            <v>Guruprasad</v>
          </cell>
          <cell r="C167" t="str">
            <v>Male</v>
          </cell>
          <cell r="I167" t="str">
            <v>26/10/1983</v>
          </cell>
          <cell r="J167">
            <v>0.72916666666666663</v>
          </cell>
          <cell r="L167">
            <v>5.5</v>
          </cell>
          <cell r="M167">
            <v>12.8185</v>
          </cell>
          <cell r="N167">
            <v>79.694699999999997</v>
          </cell>
        </row>
        <row r="168">
          <cell r="B168" t="str">
            <v>Gvk</v>
          </cell>
          <cell r="C168" t="str">
            <v>Male</v>
          </cell>
          <cell r="I168" t="str">
            <v>17/11/1959</v>
          </cell>
          <cell r="J168" t="str">
            <v>08:25:10 PM</v>
          </cell>
          <cell r="L168">
            <v>5.5</v>
          </cell>
          <cell r="M168">
            <v>9.5680116000000002</v>
          </cell>
          <cell r="N168">
            <v>77.962443500000006</v>
          </cell>
        </row>
        <row r="169">
          <cell r="B169" t="str">
            <v>GV's friend's daughter</v>
          </cell>
          <cell r="C169" t="str">
            <v>Female</v>
          </cell>
          <cell r="I169" t="str">
            <v>14/5/1998</v>
          </cell>
          <cell r="J169" t="str">
            <v>07:21:00 PM</v>
          </cell>
          <cell r="L169">
            <v>5.5</v>
          </cell>
          <cell r="M169">
            <v>13.0826802</v>
          </cell>
          <cell r="N169">
            <v>80.270718400000007</v>
          </cell>
        </row>
        <row r="170">
          <cell r="B170" t="str">
            <v>Ha</v>
          </cell>
          <cell r="C170" t="str">
            <v>Male</v>
          </cell>
          <cell r="I170" t="str">
            <v>25/9/1985</v>
          </cell>
          <cell r="J170" t="str">
            <v>11:46:10 AM</v>
          </cell>
          <cell r="L170">
            <v>5.5</v>
          </cell>
          <cell r="M170">
            <v>8.1832857000000008</v>
          </cell>
          <cell r="N170">
            <v>77.411899599999998</v>
          </cell>
        </row>
        <row r="171">
          <cell r="B171" t="str">
            <v>Hamsavardini</v>
          </cell>
          <cell r="C171" t="str">
            <v>Female</v>
          </cell>
          <cell r="I171" t="str">
            <v>22/9/2003</v>
          </cell>
          <cell r="J171" t="str">
            <v>04:26:00 AM</v>
          </cell>
          <cell r="L171">
            <v>5.5</v>
          </cell>
          <cell r="M171">
            <v>10.925439799999999</v>
          </cell>
          <cell r="N171">
            <v>79.838005600000002</v>
          </cell>
        </row>
        <row r="172">
          <cell r="B172" t="str">
            <v>Hariharan</v>
          </cell>
          <cell r="C172" t="str">
            <v>Male</v>
          </cell>
          <cell r="I172" t="str">
            <v>10/5/1980</v>
          </cell>
          <cell r="J172" t="str">
            <v>11:57:40 PM</v>
          </cell>
          <cell r="L172">
            <v>5.5</v>
          </cell>
          <cell r="M172">
            <v>13.0382876</v>
          </cell>
          <cell r="N172">
            <v>80.220949899999994</v>
          </cell>
        </row>
        <row r="173">
          <cell r="B173" t="str">
            <v>Hariharan G</v>
          </cell>
          <cell r="C173" t="str">
            <v>Male</v>
          </cell>
          <cell r="I173" t="str">
            <v>1/9/1993</v>
          </cell>
          <cell r="J173" t="str">
            <v>06:48:35 AM</v>
          </cell>
          <cell r="L173">
            <v>5.5</v>
          </cell>
          <cell r="M173">
            <v>13.027911700000001</v>
          </cell>
          <cell r="N173">
            <v>80.260513700000004</v>
          </cell>
        </row>
        <row r="174">
          <cell r="B174" t="str">
            <v>Harini</v>
          </cell>
          <cell r="C174" t="str">
            <v>Female</v>
          </cell>
          <cell r="I174" t="str">
            <v>13/11/1998</v>
          </cell>
          <cell r="J174" t="str">
            <v>03:56:00 PM</v>
          </cell>
          <cell r="L174">
            <v>5.5</v>
          </cell>
          <cell r="M174">
            <v>12.818455999999999</v>
          </cell>
          <cell r="N174">
            <v>79.694658599999997</v>
          </cell>
        </row>
        <row r="175">
          <cell r="B175" t="str">
            <v>Harini Jayashankar</v>
          </cell>
          <cell r="C175" t="str">
            <v>Female</v>
          </cell>
          <cell r="I175" t="str">
            <v>3/2/1994</v>
          </cell>
          <cell r="J175" t="str">
            <v>07:17:00 PM</v>
          </cell>
          <cell r="L175">
            <v>-4</v>
          </cell>
          <cell r="M175">
            <v>40.856766200000003</v>
          </cell>
          <cell r="N175">
            <v>-74.128476399999997</v>
          </cell>
        </row>
        <row r="176">
          <cell r="B176" t="str">
            <v>Hariprasad</v>
          </cell>
          <cell r="C176" t="str">
            <v>Male</v>
          </cell>
          <cell r="I176" t="str">
            <v>9/10/1985</v>
          </cell>
          <cell r="J176" t="str">
            <v>07:18:00 PM</v>
          </cell>
          <cell r="L176">
            <v>5.5</v>
          </cell>
          <cell r="M176">
            <v>10.088933300000001</v>
          </cell>
          <cell r="N176">
            <v>77.059524800000005</v>
          </cell>
        </row>
        <row r="177">
          <cell r="B177" t="str">
            <v>Hariprasad</v>
          </cell>
          <cell r="C177" t="str">
            <v>Male</v>
          </cell>
          <cell r="I177" t="str">
            <v>30/10/1991</v>
          </cell>
          <cell r="J177" t="str">
            <v>07:23:00 AM</v>
          </cell>
          <cell r="L177">
            <v>5.5</v>
          </cell>
          <cell r="M177">
            <v>13.0826802</v>
          </cell>
          <cell r="N177">
            <v>80.270718400000007</v>
          </cell>
        </row>
        <row r="178">
          <cell r="B178" t="str">
            <v>Haripriya</v>
          </cell>
          <cell r="C178" t="str">
            <v>Female</v>
          </cell>
          <cell r="I178" t="str">
            <v>10/8/1997</v>
          </cell>
          <cell r="J178" t="str">
            <v>03:20:00 PM</v>
          </cell>
          <cell r="L178">
            <v>5.5</v>
          </cell>
          <cell r="M178">
            <v>10.5488795</v>
          </cell>
          <cell r="N178">
            <v>79.639015000000001</v>
          </cell>
        </row>
        <row r="179">
          <cell r="B179" t="str">
            <v>Harish</v>
          </cell>
          <cell r="C179" t="str">
            <v>Male</v>
          </cell>
          <cell r="I179" t="str">
            <v>20/11/1990</v>
          </cell>
          <cell r="J179" t="str">
            <v>01:51:50 PM</v>
          </cell>
          <cell r="L179">
            <v>5.5</v>
          </cell>
          <cell r="M179">
            <v>13.0521019</v>
          </cell>
          <cell r="N179">
            <v>80.225528600000004</v>
          </cell>
        </row>
        <row r="180">
          <cell r="B180" t="str">
            <v>Harish (for matching)</v>
          </cell>
          <cell r="C180" t="str">
            <v>Male</v>
          </cell>
          <cell r="I180" t="str">
            <v>6/11/1993</v>
          </cell>
          <cell r="J180" t="str">
            <v>03:10:00 AM</v>
          </cell>
          <cell r="L180">
            <v>5.5</v>
          </cell>
          <cell r="M180">
            <v>13.0826802</v>
          </cell>
          <cell r="N180">
            <v>80.270718400000007</v>
          </cell>
        </row>
        <row r="181">
          <cell r="B181" t="str">
            <v>Harish Kannan</v>
          </cell>
          <cell r="C181" t="str">
            <v>Male</v>
          </cell>
          <cell r="I181" t="str">
            <v>23/11/1994</v>
          </cell>
          <cell r="J181" t="str">
            <v>10:07:00 AM</v>
          </cell>
          <cell r="L181">
            <v>5.5</v>
          </cell>
          <cell r="M181">
            <v>11.454824800000001</v>
          </cell>
          <cell r="N181">
            <v>77.436536799999999</v>
          </cell>
        </row>
        <row r="182">
          <cell r="B182" t="str">
            <v>Hema SH</v>
          </cell>
          <cell r="C182" t="str">
            <v>Female</v>
          </cell>
          <cell r="I182" t="str">
            <v>8/8/1972</v>
          </cell>
          <cell r="J182" t="str">
            <v>04:45:00 PM</v>
          </cell>
          <cell r="L182">
            <v>5.5</v>
          </cell>
          <cell r="M182">
            <v>10.7904833</v>
          </cell>
          <cell r="N182">
            <v>78.704672500000001</v>
          </cell>
        </row>
        <row r="183">
          <cell r="B183" t="str">
            <v>Hitler</v>
          </cell>
          <cell r="C183" t="str">
            <v>Male</v>
          </cell>
          <cell r="I183" t="str">
            <v>20/4/1889</v>
          </cell>
          <cell r="J183">
            <v>0.77083333333333337</v>
          </cell>
          <cell r="L183">
            <v>0.86668888888888895</v>
          </cell>
          <cell r="M183">
            <v>48.25</v>
          </cell>
          <cell r="N183">
            <v>13.033333333333333</v>
          </cell>
        </row>
        <row r="184">
          <cell r="B184" t="str">
            <v>Ilanchezhiyan</v>
          </cell>
          <cell r="C184" t="str">
            <v>Male</v>
          </cell>
          <cell r="I184" t="str">
            <v>15/9/1967</v>
          </cell>
          <cell r="J184" t="str">
            <v>04:20:00 PM</v>
          </cell>
          <cell r="L184">
            <v>5.5</v>
          </cell>
          <cell r="M184">
            <v>11.9401378</v>
          </cell>
          <cell r="N184">
            <v>79.486144899999999</v>
          </cell>
        </row>
        <row r="185">
          <cell r="B185" t="str">
            <v>Ilango</v>
          </cell>
          <cell r="C185" t="str">
            <v>Male</v>
          </cell>
          <cell r="I185" t="str">
            <v>29/5/1981</v>
          </cell>
          <cell r="J185" t="str">
            <v>08:40:55 PM</v>
          </cell>
          <cell r="L185">
            <v>5.5</v>
          </cell>
          <cell r="M185">
            <v>12.6819372</v>
          </cell>
          <cell r="N185">
            <v>79.988841300000004</v>
          </cell>
        </row>
        <row r="186">
          <cell r="B186" t="str">
            <v>Ilankumaran</v>
          </cell>
          <cell r="C186" t="str">
            <v>Male</v>
          </cell>
          <cell r="I186" t="str">
            <v>28/10/1992</v>
          </cell>
          <cell r="J186" t="str">
            <v>02:45:00 PM</v>
          </cell>
          <cell r="L186">
            <v>5.5</v>
          </cell>
          <cell r="M186">
            <v>12.818455999999999</v>
          </cell>
          <cell r="N186">
            <v>79.694658599999997</v>
          </cell>
        </row>
        <row r="187">
          <cell r="B187" t="str">
            <v>Indira Ranga Rao</v>
          </cell>
          <cell r="C187" t="str">
            <v>Female</v>
          </cell>
          <cell r="I187" t="str">
            <v>13/12/1939</v>
          </cell>
          <cell r="J187" t="str">
            <v>02:00:00 PM</v>
          </cell>
          <cell r="L187">
            <v>5.5</v>
          </cell>
          <cell r="M187">
            <v>14.4673154</v>
          </cell>
          <cell r="N187">
            <v>78.824208900000002</v>
          </cell>
        </row>
        <row r="188">
          <cell r="B188" t="str">
            <v>Induja R (Sundaram)</v>
          </cell>
          <cell r="C188" t="str">
            <v>Female</v>
          </cell>
          <cell r="I188" t="str">
            <v>6/5/1988</v>
          </cell>
          <cell r="J188" t="str">
            <v>12:17:00 PM</v>
          </cell>
          <cell r="L188">
            <v>5.5</v>
          </cell>
          <cell r="M188">
            <v>10.073539999999999</v>
          </cell>
          <cell r="N188">
            <v>78.773197999999994</v>
          </cell>
        </row>
        <row r="189">
          <cell r="B189" t="str">
            <v>Ishwarya</v>
          </cell>
          <cell r="C189" t="str">
            <v>Female</v>
          </cell>
          <cell r="I189" t="str">
            <v>29/9/1995</v>
          </cell>
          <cell r="J189" t="str">
            <v>12:55:00 AM</v>
          </cell>
          <cell r="L189">
            <v>5.5</v>
          </cell>
          <cell r="M189">
            <v>11.5389807</v>
          </cell>
          <cell r="N189">
            <v>79.479386099999999</v>
          </cell>
        </row>
        <row r="190">
          <cell r="B190" t="str">
            <v>Ive</v>
          </cell>
          <cell r="C190" t="str">
            <v>Female</v>
          </cell>
          <cell r="I190" t="str">
            <v>8/6/1988</v>
          </cell>
          <cell r="J190" t="str">
            <v>07:47:45 PM</v>
          </cell>
          <cell r="L190">
            <v>5.5</v>
          </cell>
          <cell r="M190">
            <v>9.4514843000000006</v>
          </cell>
          <cell r="N190">
            <v>77.554342500000004</v>
          </cell>
        </row>
        <row r="191">
          <cell r="B191" t="str">
            <v>Jagadeesh KR</v>
          </cell>
          <cell r="C191" t="str">
            <v>Male</v>
          </cell>
          <cell r="I191" t="str">
            <v>26/12/1977</v>
          </cell>
          <cell r="J191" t="str">
            <v>04:06:20 AM</v>
          </cell>
          <cell r="L191">
            <v>5.5</v>
          </cell>
          <cell r="M191">
            <v>12.965350600000001</v>
          </cell>
          <cell r="N191">
            <v>77.649309900000006</v>
          </cell>
        </row>
        <row r="192">
          <cell r="B192" t="str">
            <v>Jagadish</v>
          </cell>
          <cell r="C192" t="str">
            <v>Male</v>
          </cell>
          <cell r="I192" t="str">
            <v>17/3/1993</v>
          </cell>
          <cell r="J192" t="str">
            <v>07:43:00 PM</v>
          </cell>
          <cell r="L192">
            <v>5.5</v>
          </cell>
          <cell r="M192">
            <v>13.0840593</v>
          </cell>
          <cell r="N192">
            <v>79.670412799999994</v>
          </cell>
        </row>
        <row r="193">
          <cell r="B193" t="str">
            <v>JAGAN RAAMANJI</v>
          </cell>
          <cell r="C193" t="str">
            <v>Male</v>
          </cell>
          <cell r="I193" t="str">
            <v>5/4/1994</v>
          </cell>
          <cell r="J193" t="str">
            <v>12:34:00 PM</v>
          </cell>
          <cell r="L193">
            <v>5.5</v>
          </cell>
          <cell r="M193">
            <v>12.740912700000001</v>
          </cell>
          <cell r="N193">
            <v>77.825292300000001</v>
          </cell>
        </row>
        <row r="194">
          <cell r="B194" t="str">
            <v>Janakiraman T</v>
          </cell>
          <cell r="C194" t="str">
            <v>Male</v>
          </cell>
          <cell r="I194" t="str">
            <v>15/6/1976</v>
          </cell>
          <cell r="J194" t="str">
            <v>06:20:00 AM</v>
          </cell>
          <cell r="L194">
            <v>5.5</v>
          </cell>
          <cell r="M194">
            <v>12.780167199999999</v>
          </cell>
          <cell r="N194">
            <v>78.717727100000005</v>
          </cell>
        </row>
        <row r="195">
          <cell r="B195" t="str">
            <v>Janani Kumar</v>
          </cell>
          <cell r="C195" t="str">
            <v>Male</v>
          </cell>
          <cell r="I195" t="str">
            <v>8/7/1994</v>
          </cell>
          <cell r="J195" t="str">
            <v>02:25:00 PM</v>
          </cell>
          <cell r="L195">
            <v>5.5</v>
          </cell>
          <cell r="M195">
            <v>13.0826802</v>
          </cell>
          <cell r="N195">
            <v>80.270718400000007</v>
          </cell>
        </row>
        <row r="196">
          <cell r="B196" t="str">
            <v>Janani Shankar</v>
          </cell>
          <cell r="C196" t="str">
            <v>Male</v>
          </cell>
          <cell r="I196" t="str">
            <v>16/7/1992</v>
          </cell>
          <cell r="J196" t="str">
            <v>07:59:39 PM</v>
          </cell>
          <cell r="L196">
            <v>5.5</v>
          </cell>
          <cell r="M196">
            <v>12.9880288</v>
          </cell>
          <cell r="N196">
            <v>80.204713299999995</v>
          </cell>
        </row>
        <row r="197">
          <cell r="B197" t="str">
            <v>Janvi</v>
          </cell>
          <cell r="C197" t="str">
            <v>Female</v>
          </cell>
          <cell r="I197" t="str">
            <v>2/12/2000</v>
          </cell>
          <cell r="J197" t="str">
            <v>07:50:00 AM</v>
          </cell>
          <cell r="L197">
            <v>5.5</v>
          </cell>
          <cell r="M197">
            <v>23.229831300000001</v>
          </cell>
          <cell r="N197">
            <v>73.220506499999999</v>
          </cell>
        </row>
        <row r="198">
          <cell r="B198" t="str">
            <v>Jayaganesan</v>
          </cell>
          <cell r="C198" t="str">
            <v>Male</v>
          </cell>
          <cell r="I198" t="str">
            <v>3/10/1976</v>
          </cell>
          <cell r="J198" t="str">
            <v>08:28:00 PM</v>
          </cell>
          <cell r="L198">
            <v>5.5</v>
          </cell>
          <cell r="M198">
            <v>8.7139126000000005</v>
          </cell>
          <cell r="N198">
            <v>77.756652299999999</v>
          </cell>
        </row>
        <row r="199">
          <cell r="B199" t="str">
            <v>Jayakanthan</v>
          </cell>
          <cell r="C199" t="str">
            <v>Male</v>
          </cell>
          <cell r="I199" t="str">
            <v>27/5/1978</v>
          </cell>
          <cell r="J199" t="str">
            <v>07:59:25 AM</v>
          </cell>
          <cell r="L199">
            <v>5.5</v>
          </cell>
          <cell r="M199">
            <v>12.5089244</v>
          </cell>
          <cell r="N199">
            <v>79.884735500000005</v>
          </cell>
        </row>
        <row r="200">
          <cell r="B200" t="str">
            <v>JAYALALITHA JAYARAMAN</v>
          </cell>
          <cell r="C200" t="str">
            <v>Female</v>
          </cell>
          <cell r="I200" t="str">
            <v>24/2/1948</v>
          </cell>
          <cell r="J200" t="str">
            <v>02:32:00 PM</v>
          </cell>
          <cell r="L200">
            <v>5.5</v>
          </cell>
          <cell r="M200">
            <v>12.295810400000001</v>
          </cell>
          <cell r="N200">
            <v>76.639380500000001</v>
          </cell>
        </row>
        <row r="201">
          <cell r="B201" t="str">
            <v>Jayanthi</v>
          </cell>
          <cell r="C201" t="str">
            <v>Female</v>
          </cell>
          <cell r="I201" t="str">
            <v>20/10/1967</v>
          </cell>
          <cell r="J201" t="str">
            <v>01:38:52 AM</v>
          </cell>
          <cell r="L201">
            <v>5.5</v>
          </cell>
          <cell r="M201">
            <v>9.5121170999999993</v>
          </cell>
          <cell r="N201">
            <v>77.634021300000001</v>
          </cell>
        </row>
        <row r="202">
          <cell r="B202" t="str">
            <v>Jayashree</v>
          </cell>
          <cell r="C202" t="str">
            <v>Female</v>
          </cell>
          <cell r="I202" t="str">
            <v>29/1/1963</v>
          </cell>
          <cell r="J202" t="str">
            <v>03:48:09 PM</v>
          </cell>
          <cell r="L202">
            <v>5.5</v>
          </cell>
          <cell r="M202">
            <v>26.119660700000001</v>
          </cell>
          <cell r="N202">
            <v>85.390981999999994</v>
          </cell>
        </row>
        <row r="203">
          <cell r="B203" t="str">
            <v>Ji(kp2)</v>
          </cell>
          <cell r="C203" t="str">
            <v>Male</v>
          </cell>
          <cell r="I203" t="str">
            <v>27/5/1988</v>
          </cell>
          <cell r="J203" t="str">
            <v>02:36:55 AM</v>
          </cell>
          <cell r="L203">
            <v>5.5</v>
          </cell>
          <cell r="M203">
            <v>8.7641661000000006</v>
          </cell>
          <cell r="N203">
            <v>78.134836100000001</v>
          </cell>
        </row>
        <row r="204">
          <cell r="B204" t="str">
            <v>Junior Haripraneeth</v>
          </cell>
          <cell r="C204" t="str">
            <v>Male</v>
          </cell>
          <cell r="I204" t="str">
            <v>6/10/2021</v>
          </cell>
          <cell r="J204" t="str">
            <v>05:05:00 AM</v>
          </cell>
          <cell r="L204">
            <v>5.5</v>
          </cell>
          <cell r="M204">
            <v>12.916516700000001</v>
          </cell>
          <cell r="N204">
            <v>79.132498600000005</v>
          </cell>
        </row>
        <row r="205">
          <cell r="B205" t="str">
            <v>Jyothi Babu</v>
          </cell>
          <cell r="C205" t="str">
            <v>Female</v>
          </cell>
          <cell r="I205" t="str">
            <v>18/8/1973</v>
          </cell>
          <cell r="J205">
            <v>0.37847222222222227</v>
          </cell>
          <cell r="L205">
            <v>5.5</v>
          </cell>
          <cell r="M205">
            <v>8.8932000000000002</v>
          </cell>
          <cell r="N205">
            <v>76.614099999999993</v>
          </cell>
        </row>
        <row r="206">
          <cell r="B206" t="str">
            <v>K.S.Krishnamurthy</v>
          </cell>
          <cell r="C206" t="str">
            <v>Male</v>
          </cell>
          <cell r="I206" t="str">
            <v>1/11/1908</v>
          </cell>
          <cell r="J206" t="str">
            <v>12:11:00 PM</v>
          </cell>
          <cell r="L206">
            <v>5.5</v>
          </cell>
          <cell r="M206">
            <v>10.8798545</v>
          </cell>
          <cell r="N206">
            <v>79.106041000000005</v>
          </cell>
        </row>
        <row r="207">
          <cell r="B207" t="str">
            <v>Jawaharlal Nehru</v>
          </cell>
          <cell r="C207" t="str">
            <v>Male</v>
          </cell>
          <cell r="I207" t="str">
            <v>14/11/1889</v>
          </cell>
          <cell r="J207" t="str">
            <v>11:36:00 PM</v>
          </cell>
          <cell r="L207">
            <v>5.5</v>
          </cell>
          <cell r="M207">
            <v>25.435801099999999</v>
          </cell>
          <cell r="N207">
            <v>81.846311</v>
          </cell>
        </row>
        <row r="208">
          <cell r="B208" t="str">
            <v>Kalatheeshwaran</v>
          </cell>
          <cell r="C208" t="str">
            <v>Male</v>
          </cell>
          <cell r="I208" t="str">
            <v>24/3/1991</v>
          </cell>
          <cell r="J208" t="str">
            <v>02:24:00 AM</v>
          </cell>
          <cell r="L208">
            <v>5.5</v>
          </cell>
          <cell r="M208">
            <v>13.0826802</v>
          </cell>
          <cell r="N208">
            <v>80.270718400000007</v>
          </cell>
        </row>
        <row r="209">
          <cell r="B209" t="str">
            <v>KALAVATHY</v>
          </cell>
          <cell r="C209" t="str">
            <v>Female</v>
          </cell>
          <cell r="I209" t="str">
            <v>19/10/1973</v>
          </cell>
          <cell r="J209" t="str">
            <v>10:30:00 AM</v>
          </cell>
          <cell r="L209">
            <v>5.5</v>
          </cell>
          <cell r="M209">
            <v>12.971598699999999</v>
          </cell>
          <cell r="N209">
            <v>77.594562699999997</v>
          </cell>
        </row>
        <row r="210">
          <cell r="B210" t="str">
            <v>Kalvi  p64</v>
          </cell>
          <cell r="C210" t="str">
            <v>Male</v>
          </cell>
          <cell r="I210" t="str">
            <v>29/11/1972</v>
          </cell>
          <cell r="J210" t="str">
            <v>05:03:50 AM</v>
          </cell>
          <cell r="L210">
            <v>5.5</v>
          </cell>
          <cell r="M210">
            <v>12.6713363</v>
          </cell>
          <cell r="N210">
            <v>79.281758999999994</v>
          </cell>
        </row>
        <row r="211">
          <cell r="B211" t="str">
            <v>Kamal Hassan</v>
          </cell>
          <cell r="C211" t="str">
            <v>Male</v>
          </cell>
          <cell r="I211" t="str">
            <v>7/11/1954</v>
          </cell>
          <cell r="J211" t="str">
            <v>06:15:00 AM</v>
          </cell>
          <cell r="L211">
            <v>5.5</v>
          </cell>
          <cell r="M211">
            <v>9.5493535999999999</v>
          </cell>
          <cell r="N211">
            <v>78.589066299999999</v>
          </cell>
        </row>
        <row r="212">
          <cell r="B212" t="str">
            <v>Kamala Harris</v>
          </cell>
          <cell r="C212" t="str">
            <v>Female</v>
          </cell>
          <cell r="I212" t="str">
            <v>20/10/1964</v>
          </cell>
          <cell r="J212" t="str">
            <v>09:28:00 PM</v>
          </cell>
          <cell r="L212">
            <v>-7</v>
          </cell>
          <cell r="M212">
            <v>37.804351400000002</v>
          </cell>
          <cell r="N212">
            <v>-122.2711639</v>
          </cell>
        </row>
        <row r="213">
          <cell r="B213" t="str">
            <v>Kamala Ramamurthy</v>
          </cell>
          <cell r="C213" t="str">
            <v>Female</v>
          </cell>
          <cell r="I213" t="str">
            <v>25/7/1953</v>
          </cell>
          <cell r="J213" t="str">
            <v>01:30:35 PM</v>
          </cell>
          <cell r="L213">
            <v>5.5</v>
          </cell>
          <cell r="M213">
            <v>10.7904833</v>
          </cell>
          <cell r="N213">
            <v>78.704672500000001</v>
          </cell>
        </row>
        <row r="214">
          <cell r="B214" t="str">
            <v>JOHN MILTON</v>
          </cell>
          <cell r="C214" t="str">
            <v>Male</v>
          </cell>
          <cell r="I214" t="str">
            <v>9/12/1608</v>
          </cell>
          <cell r="J214" t="str">
            <v>06:30:00 AM</v>
          </cell>
          <cell r="L214">
            <v>5.5</v>
          </cell>
          <cell r="M214">
            <v>51.507217799999999</v>
          </cell>
          <cell r="N214">
            <v>-0.12758620000000001</v>
          </cell>
        </row>
        <row r="215">
          <cell r="B215" t="str">
            <v>Kanaga Raamanji</v>
          </cell>
          <cell r="C215" t="str">
            <v>Female</v>
          </cell>
          <cell r="I215" t="str">
            <v>25/8/1991</v>
          </cell>
          <cell r="J215" t="str">
            <v>04:14:00 PM</v>
          </cell>
          <cell r="L215">
            <v>5.5</v>
          </cell>
          <cell r="M215">
            <v>12.740912700000001</v>
          </cell>
          <cell r="N215">
            <v>77.825292300000001</v>
          </cell>
        </row>
        <row r="216">
          <cell r="B216" t="str">
            <v>Kanagadurga / Vaishu</v>
          </cell>
          <cell r="C216" t="str">
            <v>Female</v>
          </cell>
          <cell r="I216" t="str">
            <v>3/6/1999</v>
          </cell>
          <cell r="J216" t="str">
            <v>06:30:00 AM</v>
          </cell>
          <cell r="L216">
            <v>5.5</v>
          </cell>
          <cell r="M216">
            <v>12.2252841</v>
          </cell>
          <cell r="N216">
            <v>79.074695700000007</v>
          </cell>
        </row>
        <row r="217">
          <cell r="B217" t="str">
            <v>Kanishka Sri</v>
          </cell>
          <cell r="C217" t="str">
            <v>Female</v>
          </cell>
          <cell r="I217" t="str">
            <v>20/10/2008</v>
          </cell>
          <cell r="J217" t="str">
            <v>05:16:00 AM</v>
          </cell>
          <cell r="L217">
            <v>5.5</v>
          </cell>
          <cell r="M217">
            <v>12.740912700000001</v>
          </cell>
          <cell r="N217">
            <v>77.825292300000001</v>
          </cell>
        </row>
        <row r="218">
          <cell r="B218" t="str">
            <v>Kar Pandi</v>
          </cell>
          <cell r="C218" t="str">
            <v>Male</v>
          </cell>
          <cell r="I218" t="str">
            <v>5/7/1985</v>
          </cell>
          <cell r="J218" t="str">
            <v>05:31:17 AM</v>
          </cell>
          <cell r="L218">
            <v>5.5</v>
          </cell>
          <cell r="M218">
            <v>9.5493535999999999</v>
          </cell>
          <cell r="N218">
            <v>78.589066299999999</v>
          </cell>
        </row>
        <row r="219">
          <cell r="B219" t="str">
            <v>Karikalan T</v>
          </cell>
          <cell r="C219" t="str">
            <v>Male</v>
          </cell>
          <cell r="I219" t="str">
            <v>6/8/1984</v>
          </cell>
          <cell r="J219" t="str">
            <v>03:52:10 PM</v>
          </cell>
          <cell r="L219">
            <v>5.5</v>
          </cell>
          <cell r="M219">
            <v>10.9972352</v>
          </cell>
          <cell r="N219">
            <v>79.452369700000006</v>
          </cell>
        </row>
        <row r="220">
          <cell r="B220" t="str">
            <v>Karpagam</v>
          </cell>
          <cell r="C220" t="str">
            <v>Female</v>
          </cell>
          <cell r="I220" t="str">
            <v>5/12/1981</v>
          </cell>
          <cell r="J220" t="str">
            <v>02:45:00 PM</v>
          </cell>
          <cell r="L220">
            <v>5.5</v>
          </cell>
          <cell r="M220">
            <v>11.8037584</v>
          </cell>
          <cell r="N220">
            <v>77.807421399999996</v>
          </cell>
        </row>
        <row r="221">
          <cell r="B221" t="str">
            <v>Karpagameenakshi G</v>
          </cell>
          <cell r="C221" t="str">
            <v>Female</v>
          </cell>
          <cell r="I221" t="str">
            <v>28/12/1997</v>
          </cell>
          <cell r="J221" t="str">
            <v>09:42:00 AM</v>
          </cell>
          <cell r="L221">
            <v>5.5</v>
          </cell>
          <cell r="M221">
            <v>3.1569486000000002</v>
          </cell>
          <cell r="N221">
            <v>101.71230300000001</v>
          </cell>
        </row>
        <row r="222">
          <cell r="B222" t="str">
            <v>Karthick P</v>
          </cell>
          <cell r="C222" t="str">
            <v>Male</v>
          </cell>
          <cell r="I222" t="str">
            <v>1/5/1992</v>
          </cell>
          <cell r="J222" t="str">
            <v>06:00:00 AM</v>
          </cell>
          <cell r="L222">
            <v>5.5</v>
          </cell>
          <cell r="M222">
            <v>13.0826802</v>
          </cell>
          <cell r="N222">
            <v>80.270718400000007</v>
          </cell>
        </row>
        <row r="223">
          <cell r="B223" t="str">
            <v>Karthik</v>
          </cell>
          <cell r="C223" t="str">
            <v>Male</v>
          </cell>
          <cell r="I223" t="str">
            <v>22/11/1993</v>
          </cell>
          <cell r="J223" t="str">
            <v>06:56:00 PM</v>
          </cell>
          <cell r="L223">
            <v>5.5</v>
          </cell>
          <cell r="M223">
            <v>11.941591499999999</v>
          </cell>
          <cell r="N223">
            <v>79.808313299999995</v>
          </cell>
        </row>
        <row r="224">
          <cell r="B224" t="str">
            <v>Karthik Dr S</v>
          </cell>
          <cell r="C224" t="str">
            <v>Male</v>
          </cell>
          <cell r="I224" t="str">
            <v>20/11/1994</v>
          </cell>
          <cell r="J224" t="str">
            <v>08:34:00 PM</v>
          </cell>
          <cell r="L224">
            <v>5.5</v>
          </cell>
          <cell r="M224">
            <v>11.515867999999999</v>
          </cell>
          <cell r="N224">
            <v>79.326889399999999</v>
          </cell>
        </row>
        <row r="225">
          <cell r="B225" t="str">
            <v>Karthik KC Sekhar</v>
          </cell>
          <cell r="C225" t="str">
            <v>Male</v>
          </cell>
          <cell r="I225" t="str">
            <v>17/7/1985</v>
          </cell>
          <cell r="J225" t="str">
            <v>02:26:00 AM</v>
          </cell>
          <cell r="L225">
            <v>-6</v>
          </cell>
          <cell r="M225">
            <v>30.451467699999998</v>
          </cell>
          <cell r="N225">
            <v>-91.187146600000005</v>
          </cell>
        </row>
        <row r="226">
          <cell r="B226" t="str">
            <v>Karthik Ram A</v>
          </cell>
          <cell r="C226" t="str">
            <v>Male</v>
          </cell>
          <cell r="I226" t="str">
            <v>24/5/1992</v>
          </cell>
          <cell r="J226">
            <v>0.92083333333333339</v>
          </cell>
          <cell r="L226">
            <v>5.5</v>
          </cell>
          <cell r="M226">
            <v>10.7905</v>
          </cell>
          <cell r="N226">
            <v>78.704700000000003</v>
          </cell>
        </row>
        <row r="227">
          <cell r="B227" t="str">
            <v>Karthik S</v>
          </cell>
          <cell r="C227" t="str">
            <v>Male</v>
          </cell>
          <cell r="I227" t="str">
            <v>20/11/1994</v>
          </cell>
          <cell r="J227" t="str">
            <v>11:20:00 PM</v>
          </cell>
          <cell r="L227">
            <v>5.5</v>
          </cell>
          <cell r="M227">
            <v>13.0826802</v>
          </cell>
          <cell r="N227">
            <v>80.270718400000007</v>
          </cell>
        </row>
        <row r="228">
          <cell r="B228" t="str">
            <v>KARTHIK SHETTER'S GIRL</v>
          </cell>
          <cell r="C228" t="str">
            <v>Female</v>
          </cell>
          <cell r="I228" t="str">
            <v>29/4/2020</v>
          </cell>
          <cell r="J228" t="str">
            <v>01:35:00 PM</v>
          </cell>
          <cell r="L228">
            <v>5.5</v>
          </cell>
          <cell r="M228">
            <v>16.830170800000001</v>
          </cell>
          <cell r="N228">
            <v>75.710031000000001</v>
          </cell>
        </row>
        <row r="229">
          <cell r="B229" t="str">
            <v>Karthikeyan</v>
          </cell>
          <cell r="C229" t="str">
            <v>Male</v>
          </cell>
          <cell r="I229" t="str">
            <v>8/3/1994</v>
          </cell>
          <cell r="J229" t="str">
            <v>05:42:00 PM</v>
          </cell>
          <cell r="L229">
            <v>5.5</v>
          </cell>
          <cell r="M229">
            <v>12.971598699999999</v>
          </cell>
          <cell r="N229">
            <v>77.594562699999997</v>
          </cell>
        </row>
        <row r="230">
          <cell r="B230" t="str">
            <v>KARTHIKEYAN P</v>
          </cell>
          <cell r="C230" t="str">
            <v>Male</v>
          </cell>
          <cell r="I230" t="str">
            <v>14/12/1989</v>
          </cell>
          <cell r="J230" t="str">
            <v>02:28:33 PM</v>
          </cell>
          <cell r="L230">
            <v>5.5</v>
          </cell>
          <cell r="M230">
            <v>10.786999399999999</v>
          </cell>
          <cell r="N230">
            <v>79.137827400000006</v>
          </cell>
        </row>
        <row r="231">
          <cell r="B231" t="str">
            <v>KARTHIKEYAN T</v>
          </cell>
          <cell r="C231" t="str">
            <v>Male</v>
          </cell>
          <cell r="I231" t="str">
            <v>17/10/1992</v>
          </cell>
          <cell r="J231" t="str">
            <v>05:45:10 AM</v>
          </cell>
          <cell r="L231">
            <v>5.5</v>
          </cell>
          <cell r="M231">
            <v>11.5770734</v>
          </cell>
          <cell r="N231">
            <v>77.5877318</v>
          </cell>
        </row>
        <row r="232">
          <cell r="B232" t="str">
            <v>Kartikeyan S</v>
          </cell>
          <cell r="C232" t="str">
            <v>Male</v>
          </cell>
          <cell r="I232" t="str">
            <v>21/2/1991</v>
          </cell>
          <cell r="J232" t="str">
            <v>09:50:00 PM</v>
          </cell>
          <cell r="L232">
            <v>5.5</v>
          </cell>
          <cell r="M232">
            <v>10.281681600000001</v>
          </cell>
          <cell r="N232">
            <v>77.929580700000002</v>
          </cell>
        </row>
        <row r="233">
          <cell r="B233" t="str">
            <v>Kartthik Reddy</v>
          </cell>
          <cell r="C233" t="str">
            <v>Male</v>
          </cell>
          <cell r="I233" t="str">
            <v>22/12/1981</v>
          </cell>
          <cell r="J233" t="str">
            <v>12:45:00 PM</v>
          </cell>
          <cell r="L233">
            <v>5.5</v>
          </cell>
          <cell r="M233">
            <v>14.4425987</v>
          </cell>
          <cell r="N233">
            <v>79.986456000000004</v>
          </cell>
        </row>
        <row r="234">
          <cell r="B234" t="str">
            <v>Karunanidhi M</v>
          </cell>
          <cell r="C234" t="str">
            <v>Male</v>
          </cell>
          <cell r="I234" t="str">
            <v>3/6/1924</v>
          </cell>
          <cell r="J234" t="str">
            <v>10:43:28 AM</v>
          </cell>
          <cell r="L234">
            <v>5.5</v>
          </cell>
          <cell r="M234">
            <v>10.7661312</v>
          </cell>
          <cell r="N234">
            <v>79.634369100000001</v>
          </cell>
        </row>
        <row r="235">
          <cell r="B235" t="str">
            <v>Kaushik</v>
          </cell>
          <cell r="C235" t="str">
            <v>Male</v>
          </cell>
          <cell r="I235" t="str">
            <v>26/12/1988</v>
          </cell>
          <cell r="J235" t="str">
            <v>09:41:00 PM</v>
          </cell>
          <cell r="L235">
            <v>5.5</v>
          </cell>
          <cell r="M235">
            <v>13.136214300000001</v>
          </cell>
          <cell r="N235">
            <v>78.129098600000006</v>
          </cell>
        </row>
        <row r="236">
          <cell r="B236" t="str">
            <v>kavitha divorce</v>
          </cell>
          <cell r="C236" t="str">
            <v>Female</v>
          </cell>
          <cell r="I236" t="str">
            <v>21/9/1981</v>
          </cell>
          <cell r="J236" t="str">
            <v>11:41:40 PM</v>
          </cell>
          <cell r="L236">
            <v>5.5</v>
          </cell>
          <cell r="M236">
            <v>12.1210997</v>
          </cell>
          <cell r="N236">
            <v>78.158214299999997</v>
          </cell>
        </row>
        <row r="237">
          <cell r="B237" t="str">
            <v>Kavya Kesavan</v>
          </cell>
          <cell r="C237" t="str">
            <v>Female</v>
          </cell>
          <cell r="I237" t="str">
            <v>3/3/1993</v>
          </cell>
          <cell r="J237" t="str">
            <v>07:05:00 AM</v>
          </cell>
          <cell r="L237">
            <v>5.5</v>
          </cell>
          <cell r="M237">
            <v>12.916516700000001</v>
          </cell>
          <cell r="N237">
            <v>79.132498600000005</v>
          </cell>
        </row>
        <row r="238">
          <cell r="B238" t="str">
            <v>Kavyasree</v>
          </cell>
          <cell r="C238" t="str">
            <v>Female</v>
          </cell>
          <cell r="I238" t="str">
            <v>8/10/2008</v>
          </cell>
          <cell r="J238" t="str">
            <v>02:42:00 PM</v>
          </cell>
          <cell r="L238">
            <v>5.5</v>
          </cell>
          <cell r="M238">
            <v>12.740912700000001</v>
          </cell>
          <cell r="N238">
            <v>77.825292300000001</v>
          </cell>
        </row>
        <row r="239">
          <cell r="B239" t="str">
            <v>KEER GOW</v>
          </cell>
          <cell r="C239" t="str">
            <v>Male</v>
          </cell>
          <cell r="I239" t="str">
            <v>23/5/1992</v>
          </cell>
          <cell r="J239" t="str">
            <v>03:19:12 AM</v>
          </cell>
          <cell r="L239">
            <v>5.5</v>
          </cell>
          <cell r="M239">
            <v>11.4102038</v>
          </cell>
          <cell r="N239">
            <v>76.695032400000002</v>
          </cell>
        </row>
        <row r="240">
          <cell r="B240" t="str">
            <v>Keertana</v>
          </cell>
          <cell r="C240" t="str">
            <v>Female</v>
          </cell>
          <cell r="I240" t="str">
            <v>7/3/1998</v>
          </cell>
          <cell r="J240" t="str">
            <v>08:15:05 AM</v>
          </cell>
          <cell r="L240">
            <v>5.5</v>
          </cell>
          <cell r="M240">
            <v>12.980741800000001</v>
          </cell>
          <cell r="N240">
            <v>80.1882363</v>
          </cell>
        </row>
        <row r="241">
          <cell r="B241" t="str">
            <v>Keerthana</v>
          </cell>
          <cell r="C241" t="str">
            <v>Female</v>
          </cell>
          <cell r="I241" t="str">
            <v>25/5/1995</v>
          </cell>
          <cell r="J241" t="str">
            <v>03:30:00 PM</v>
          </cell>
          <cell r="L241">
            <v>5.5</v>
          </cell>
          <cell r="M241">
            <v>9.5493535999999999</v>
          </cell>
          <cell r="N241">
            <v>78.589066299999999</v>
          </cell>
        </row>
        <row r="242">
          <cell r="B242" t="str">
            <v>Kesini</v>
          </cell>
          <cell r="C242" t="str">
            <v>Female</v>
          </cell>
          <cell r="I242" t="str">
            <v>10/9/2000</v>
          </cell>
          <cell r="J242" t="str">
            <v>06:46:20 PM</v>
          </cell>
          <cell r="L242">
            <v>5.5</v>
          </cell>
          <cell r="M242">
            <v>14.1463424</v>
          </cell>
          <cell r="N242">
            <v>79.850380900000005</v>
          </cell>
        </row>
        <row r="243">
          <cell r="B243" t="str">
            <v>Ketu-Start</v>
          </cell>
          <cell r="C243" t="str">
            <v>Female</v>
          </cell>
          <cell r="I243" t="str">
            <v>26/11/2020</v>
          </cell>
          <cell r="J243" t="str">
            <v>09:19:29 PM</v>
          </cell>
          <cell r="L243">
            <v>5.5</v>
          </cell>
          <cell r="M243">
            <v>12.740912700000001</v>
          </cell>
          <cell r="N243">
            <v>77.825292300000001</v>
          </cell>
        </row>
        <row r="244">
          <cell r="B244" t="str">
            <v>Kiran Bedi</v>
          </cell>
          <cell r="C244" t="str">
            <v>Female</v>
          </cell>
          <cell r="I244" t="str">
            <v>9/6/1949</v>
          </cell>
          <cell r="J244" t="str">
            <v>02:10:12 PM</v>
          </cell>
          <cell r="L244">
            <v>5.5</v>
          </cell>
          <cell r="M244">
            <v>31.6339793</v>
          </cell>
          <cell r="N244">
            <v>74.872264200000004</v>
          </cell>
        </row>
        <row r="245">
          <cell r="B245" t="str">
            <v>Kiran Kumar</v>
          </cell>
          <cell r="C245" t="str">
            <v>Male</v>
          </cell>
          <cell r="I245" t="str">
            <v>24/1/1994</v>
          </cell>
          <cell r="J245" t="str">
            <v>06:34:03 PM</v>
          </cell>
          <cell r="L245">
            <v>5.5</v>
          </cell>
          <cell r="M245">
            <v>12.740912700000001</v>
          </cell>
          <cell r="N245">
            <v>77.825292300000001</v>
          </cell>
        </row>
        <row r="246">
          <cell r="B246" t="str">
            <v>Kiran Murali</v>
          </cell>
          <cell r="C246" t="str">
            <v>Male</v>
          </cell>
          <cell r="I246" t="str">
            <v>26/8/1976</v>
          </cell>
          <cell r="J246" t="str">
            <v>01:57:00 PM</v>
          </cell>
          <cell r="L246">
            <v>5.5</v>
          </cell>
          <cell r="M246">
            <v>16.989064800000001</v>
          </cell>
          <cell r="N246">
            <v>82.247464800000003</v>
          </cell>
        </row>
        <row r="247">
          <cell r="B247" t="str">
            <v>Kirthana</v>
          </cell>
          <cell r="C247" t="str">
            <v>Female</v>
          </cell>
          <cell r="I247" t="str">
            <v>25/12/1996</v>
          </cell>
          <cell r="J247" t="str">
            <v>07:40:00 PM</v>
          </cell>
          <cell r="L247">
            <v>5.5</v>
          </cell>
          <cell r="M247">
            <v>10.960077800000001</v>
          </cell>
          <cell r="N247">
            <v>78.076603599999999</v>
          </cell>
        </row>
        <row r="248">
          <cell r="B248" t="str">
            <v>Kirushna</v>
          </cell>
          <cell r="C248" t="str">
            <v>Male</v>
          </cell>
          <cell r="I248" t="str">
            <v>4/6/1980</v>
          </cell>
          <cell r="J248" t="str">
            <v>01:48:15 AM</v>
          </cell>
          <cell r="L248">
            <v>5.5</v>
          </cell>
          <cell r="M248">
            <v>9.3639355999999996</v>
          </cell>
          <cell r="N248">
            <v>78.839481899999996</v>
          </cell>
        </row>
        <row r="249">
          <cell r="B249" t="str">
            <v>KISHORE</v>
          </cell>
          <cell r="C249" t="str">
            <v>Male</v>
          </cell>
          <cell r="I249" t="str">
            <v>10/4/1989</v>
          </cell>
          <cell r="J249" t="str">
            <v>06:06:00 PM</v>
          </cell>
          <cell r="L249">
            <v>5.5</v>
          </cell>
          <cell r="M249">
            <v>10.9548837</v>
          </cell>
          <cell r="N249">
            <v>78.443932000000004</v>
          </cell>
        </row>
        <row r="250">
          <cell r="B250" t="str">
            <v>Kishore Babu</v>
          </cell>
          <cell r="C250" t="str">
            <v>Male</v>
          </cell>
          <cell r="I250" t="str">
            <v>26/8/1988</v>
          </cell>
          <cell r="J250" t="str">
            <v>05:24:00 AM</v>
          </cell>
          <cell r="L250">
            <v>5.5</v>
          </cell>
          <cell r="M250">
            <v>-35.8459182</v>
          </cell>
          <cell r="N250">
            <v>174.28908999999999</v>
          </cell>
        </row>
        <row r="251">
          <cell r="B251" t="str">
            <v>Kokila</v>
          </cell>
          <cell r="C251" t="str">
            <v>Female</v>
          </cell>
          <cell r="I251" t="str">
            <v>17/5/1983</v>
          </cell>
          <cell r="J251" t="str">
            <v>01:39:10 AM</v>
          </cell>
          <cell r="L251">
            <v>5.5</v>
          </cell>
          <cell r="M251">
            <v>11.664325</v>
          </cell>
          <cell r="N251">
            <v>78.146014199999996</v>
          </cell>
        </row>
        <row r="252">
          <cell r="B252" t="str">
            <v>Kothai</v>
          </cell>
          <cell r="C252" t="str">
            <v>Female</v>
          </cell>
          <cell r="I252" t="str">
            <v>19/5/1999</v>
          </cell>
          <cell r="J252" t="str">
            <v>07:48:00 PM</v>
          </cell>
          <cell r="L252">
            <v>5.5</v>
          </cell>
          <cell r="M252">
            <v>12.740912700000001</v>
          </cell>
          <cell r="N252">
            <v>77.825292300000001</v>
          </cell>
        </row>
        <row r="253">
          <cell r="B253" t="str">
            <v>Kous(wrk 1)</v>
          </cell>
          <cell r="C253" t="str">
            <v>Male</v>
          </cell>
          <cell r="I253" t="str">
            <v>13/8/1996</v>
          </cell>
          <cell r="J253" t="str">
            <v>12:19:10 AM</v>
          </cell>
          <cell r="L253">
            <v>5.5</v>
          </cell>
          <cell r="M253">
            <v>11.664325</v>
          </cell>
          <cell r="N253">
            <v>78.146014199999996</v>
          </cell>
        </row>
        <row r="254">
          <cell r="B254" t="str">
            <v>Kri</v>
          </cell>
          <cell r="C254" t="str">
            <v>Male</v>
          </cell>
          <cell r="I254" t="str">
            <v>28/11/1985</v>
          </cell>
          <cell r="J254" t="str">
            <v>06:04:15 PM</v>
          </cell>
          <cell r="L254">
            <v>5.5</v>
          </cell>
          <cell r="M254">
            <v>11.016844499999999</v>
          </cell>
          <cell r="N254">
            <v>76.955832099999995</v>
          </cell>
        </row>
        <row r="255">
          <cell r="B255" t="str">
            <v>Krish</v>
          </cell>
          <cell r="C255" t="str">
            <v>Male</v>
          </cell>
          <cell r="I255" t="str">
            <v>27/10/2013</v>
          </cell>
          <cell r="J255" t="str">
            <v>07:45:50 AM</v>
          </cell>
          <cell r="L255">
            <v>5.5</v>
          </cell>
          <cell r="M255">
            <v>12.4214652</v>
          </cell>
          <cell r="N255">
            <v>78.217443500000002</v>
          </cell>
        </row>
        <row r="256">
          <cell r="B256" t="str">
            <v>Krishnakumar</v>
          </cell>
          <cell r="C256" t="str">
            <v>Male</v>
          </cell>
          <cell r="I256" t="str">
            <v>9/12/1963</v>
          </cell>
          <cell r="J256" t="str">
            <v>05:03:00 PM</v>
          </cell>
          <cell r="L256">
            <v>5.5</v>
          </cell>
          <cell r="M256">
            <v>13.0826802</v>
          </cell>
          <cell r="N256">
            <v>80.270718400000007</v>
          </cell>
        </row>
        <row r="257">
          <cell r="B257" t="str">
            <v>Krishnakumar Ganeshkale</v>
          </cell>
          <cell r="C257" t="str">
            <v>Male</v>
          </cell>
          <cell r="I257" t="str">
            <v>25/6/1971</v>
          </cell>
          <cell r="J257">
            <v>0.1076388888888889</v>
          </cell>
          <cell r="L257">
            <v>5.5</v>
          </cell>
          <cell r="M257">
            <v>10.123900000000001</v>
          </cell>
          <cell r="N257">
            <v>77.547499999999999</v>
          </cell>
        </row>
        <row r="258">
          <cell r="B258" t="str">
            <v>Krishnamurthy</v>
          </cell>
          <cell r="C258" t="str">
            <v>Male</v>
          </cell>
          <cell r="I258" t="str">
            <v>6/2/1964</v>
          </cell>
          <cell r="J258" t="str">
            <v>01:00:00 AM</v>
          </cell>
          <cell r="L258">
            <v>5.5</v>
          </cell>
          <cell r="M258">
            <v>19.075983699999998</v>
          </cell>
          <cell r="N258">
            <v>72.877655899999993</v>
          </cell>
        </row>
        <row r="259">
          <cell r="B259" t="str">
            <v>Krishnan K</v>
          </cell>
          <cell r="C259" t="str">
            <v>Male</v>
          </cell>
          <cell r="I259" t="str">
            <v>5/3/1955</v>
          </cell>
          <cell r="J259" t="str">
            <v>04:26:30 AM</v>
          </cell>
          <cell r="L259">
            <v>5.5</v>
          </cell>
          <cell r="M259">
            <v>9.4700289000000009</v>
          </cell>
          <cell r="N259">
            <v>78.619259600000007</v>
          </cell>
        </row>
        <row r="260">
          <cell r="B260" t="str">
            <v>KRISHNAN REF RAVIKUMAR</v>
          </cell>
          <cell r="C260" t="str">
            <v>Male</v>
          </cell>
          <cell r="I260" t="str">
            <v>1/12/1966</v>
          </cell>
          <cell r="J260" t="str">
            <v>08:30:50 AM</v>
          </cell>
          <cell r="L260">
            <v>5.5</v>
          </cell>
          <cell r="M260">
            <v>11.941591499999999</v>
          </cell>
          <cell r="N260">
            <v>79.808313299999995</v>
          </cell>
        </row>
        <row r="261">
          <cell r="B261" t="str">
            <v>Krishnaveni</v>
          </cell>
          <cell r="C261" t="str">
            <v>Female</v>
          </cell>
          <cell r="I261" t="str">
            <v>22/7/1951</v>
          </cell>
          <cell r="J261" t="str">
            <v>09:10:00 AM</v>
          </cell>
          <cell r="L261">
            <v>5.5</v>
          </cell>
          <cell r="M261">
            <v>17.385044000000001</v>
          </cell>
          <cell r="N261">
            <v>78.486671000000001</v>
          </cell>
        </row>
        <row r="262">
          <cell r="B262" t="str">
            <v>Krithik Easwar</v>
          </cell>
          <cell r="C262" t="str">
            <v>Male</v>
          </cell>
          <cell r="I262" t="str">
            <v>20/5/2007</v>
          </cell>
          <cell r="J262" t="str">
            <v>06:19:00 PM</v>
          </cell>
          <cell r="L262">
            <v>5.5</v>
          </cell>
          <cell r="M262">
            <v>9.9252006999999995</v>
          </cell>
          <cell r="N262">
            <v>78.119775399999995</v>
          </cell>
        </row>
        <row r="263">
          <cell r="B263" t="str">
            <v>Krithika</v>
          </cell>
          <cell r="C263" t="str">
            <v>Female</v>
          </cell>
          <cell r="I263" t="str">
            <v>12/7/1998</v>
          </cell>
          <cell r="J263" t="str">
            <v>12:05:00 AM</v>
          </cell>
          <cell r="L263">
            <v>5.5</v>
          </cell>
          <cell r="M263">
            <v>11.3410364</v>
          </cell>
          <cell r="N263">
            <v>77.717164199999999</v>
          </cell>
        </row>
        <row r="264">
          <cell r="B264" t="str">
            <v>Krithika Thyagarajan</v>
          </cell>
          <cell r="C264" t="str">
            <v>Female</v>
          </cell>
          <cell r="I264" t="str">
            <v>6/11/2001</v>
          </cell>
          <cell r="J264" t="str">
            <v>04:29:00 AM</v>
          </cell>
          <cell r="L264">
            <v>5.5</v>
          </cell>
          <cell r="M264">
            <v>9.4532851999999998</v>
          </cell>
          <cell r="N264">
            <v>77.802417000000005</v>
          </cell>
        </row>
        <row r="265">
          <cell r="B265" t="str">
            <v>Krithikasri</v>
          </cell>
          <cell r="C265" t="str">
            <v>Female</v>
          </cell>
          <cell r="I265" t="str">
            <v>23/3/2007</v>
          </cell>
          <cell r="J265" t="str">
            <v>01:47:00 PM</v>
          </cell>
          <cell r="L265">
            <v>5.5</v>
          </cell>
          <cell r="M265">
            <v>12.740912700000001</v>
          </cell>
          <cell r="N265">
            <v>77.825292300000001</v>
          </cell>
        </row>
        <row r="266">
          <cell r="B266" t="str">
            <v>Kumar(Loan)</v>
          </cell>
          <cell r="C266" t="str">
            <v>Male</v>
          </cell>
          <cell r="I266" t="str">
            <v>19/5/1964</v>
          </cell>
          <cell r="J266" t="str">
            <v>09:45:00 PM</v>
          </cell>
          <cell r="L266">
            <v>5.5</v>
          </cell>
          <cell r="M266">
            <v>13.0826802</v>
          </cell>
          <cell r="N266">
            <v>80.270718400000007</v>
          </cell>
        </row>
        <row r="267">
          <cell r="B267" t="str">
            <v>Kumaran</v>
          </cell>
          <cell r="C267" t="str">
            <v>Male</v>
          </cell>
          <cell r="I267" t="str">
            <v>15/8/1971</v>
          </cell>
          <cell r="J267" t="str">
            <v>03:10:00 AM</v>
          </cell>
          <cell r="L267">
            <v>5.5</v>
          </cell>
          <cell r="M267">
            <v>11.7480419</v>
          </cell>
          <cell r="N267">
            <v>79.771368699999996</v>
          </cell>
        </row>
        <row r="268">
          <cell r="B268" t="str">
            <v>Kumaresan</v>
          </cell>
          <cell r="C268" t="str">
            <v>Male</v>
          </cell>
          <cell r="I268" t="str">
            <v>14/5/1984</v>
          </cell>
          <cell r="J268" t="str">
            <v>08:03:00 PM</v>
          </cell>
          <cell r="L268">
            <v>5.5</v>
          </cell>
          <cell r="M268">
            <v>8.7139126000000005</v>
          </cell>
          <cell r="N268">
            <v>77.756652299999999</v>
          </cell>
        </row>
        <row r="269">
          <cell r="B269" t="str">
            <v>Kuppuswamy S</v>
          </cell>
          <cell r="C269" t="str">
            <v>Male</v>
          </cell>
          <cell r="I269" t="str">
            <v>29/12/1963</v>
          </cell>
          <cell r="J269" t="str">
            <v>07:32:07 AM</v>
          </cell>
          <cell r="L269">
            <v>5.5</v>
          </cell>
          <cell r="M269">
            <v>10.7904833</v>
          </cell>
          <cell r="N269">
            <v>78.704672500000001</v>
          </cell>
        </row>
        <row r="270">
          <cell r="B270" t="str">
            <v>KUSHAL M</v>
          </cell>
          <cell r="C270" t="str">
            <v>Male</v>
          </cell>
          <cell r="I270" t="str">
            <v>29/5/2005</v>
          </cell>
          <cell r="J270" t="str">
            <v>07:49:10 AM</v>
          </cell>
          <cell r="L270">
            <v>5.5</v>
          </cell>
          <cell r="M270">
            <v>12.740912700000001</v>
          </cell>
          <cell r="N270">
            <v>77.825292300000001</v>
          </cell>
        </row>
        <row r="271">
          <cell r="B271" t="str">
            <v>La</v>
          </cell>
          <cell r="C271" t="str">
            <v>Male</v>
          </cell>
          <cell r="I271" t="str">
            <v>1/7/1974</v>
          </cell>
          <cell r="J271">
            <v>0.99305555555555547</v>
          </cell>
          <cell r="L271">
            <v>5.5</v>
          </cell>
          <cell r="M271">
            <v>13.866666666666667</v>
          </cell>
          <cell r="N271">
            <v>75.716666666666669</v>
          </cell>
        </row>
        <row r="272">
          <cell r="B272" t="str">
            <v>Laksh</v>
          </cell>
          <cell r="C272" t="str">
            <v>Male</v>
          </cell>
          <cell r="I272" t="str">
            <v>30/1/1981</v>
          </cell>
          <cell r="J272" t="str">
            <v>01:04:25 PM</v>
          </cell>
          <cell r="L272">
            <v>5.5</v>
          </cell>
          <cell r="M272">
            <v>1.492659</v>
          </cell>
          <cell r="N272">
            <v>103.7413591</v>
          </cell>
        </row>
        <row r="273">
          <cell r="B273" t="str">
            <v>Lakshman murthy</v>
          </cell>
          <cell r="C273" t="str">
            <v>Male</v>
          </cell>
          <cell r="I273" t="str">
            <v>17/9/1953</v>
          </cell>
          <cell r="J273" t="str">
            <v>04:53:00 PM</v>
          </cell>
          <cell r="L273">
            <v>5.5</v>
          </cell>
          <cell r="M273">
            <v>12.971598699999999</v>
          </cell>
          <cell r="N273">
            <v>77.594562699999997</v>
          </cell>
        </row>
        <row r="274">
          <cell r="B274" t="str">
            <v>Lakshmanamurthy</v>
          </cell>
          <cell r="C274" t="str">
            <v>Male</v>
          </cell>
          <cell r="I274" t="str">
            <v>8/10/1954</v>
          </cell>
          <cell r="J274" t="str">
            <v>12:13:00 AM</v>
          </cell>
          <cell r="L274">
            <v>5.5</v>
          </cell>
          <cell r="M274">
            <v>8.6829522000000008</v>
          </cell>
          <cell r="N274">
            <v>77.465075400000003</v>
          </cell>
        </row>
        <row r="275">
          <cell r="B275" t="str">
            <v>Lakshmanamurthy</v>
          </cell>
          <cell r="C275" t="str">
            <v>Male</v>
          </cell>
          <cell r="I275" t="str">
            <v>9/10/1954</v>
          </cell>
          <cell r="J275" t="str">
            <v>12:13:00 AM</v>
          </cell>
          <cell r="L275">
            <v>5.5</v>
          </cell>
          <cell r="M275">
            <v>8.7139126000000005</v>
          </cell>
          <cell r="N275">
            <v>77.756652299999999</v>
          </cell>
        </row>
        <row r="276">
          <cell r="B276" t="str">
            <v>Lakshmi</v>
          </cell>
          <cell r="C276" t="str">
            <v>Female</v>
          </cell>
          <cell r="I276" t="str">
            <v>1/10/1983</v>
          </cell>
          <cell r="J276" t="str">
            <v>03:45:00 AM</v>
          </cell>
          <cell r="L276">
            <v>5.5</v>
          </cell>
          <cell r="M276">
            <v>10.7904833</v>
          </cell>
          <cell r="N276">
            <v>78.704672500000001</v>
          </cell>
        </row>
        <row r="277">
          <cell r="B277" t="str">
            <v>Lakshmi C</v>
          </cell>
          <cell r="C277" t="str">
            <v>Female</v>
          </cell>
          <cell r="I277" t="str">
            <v>5/6/1984</v>
          </cell>
          <cell r="J277" t="str">
            <v>10:49:00 AM</v>
          </cell>
          <cell r="L277">
            <v>5.5</v>
          </cell>
          <cell r="M277">
            <v>26.449895399999999</v>
          </cell>
          <cell r="N277">
            <v>74.639916299999996</v>
          </cell>
        </row>
        <row r="278">
          <cell r="B278" t="str">
            <v>Lakshmi Krishna</v>
          </cell>
          <cell r="C278" t="str">
            <v>Female</v>
          </cell>
          <cell r="I278" t="str">
            <v>1/7/1974</v>
          </cell>
          <cell r="J278">
            <v>0.99305555555555547</v>
          </cell>
          <cell r="L278">
            <v>5.5</v>
          </cell>
          <cell r="M278">
            <v>13.866666666666667</v>
          </cell>
          <cell r="N278">
            <v>75.716666666666669</v>
          </cell>
        </row>
        <row r="279">
          <cell r="B279" t="str">
            <v>Lakshmi Narasimhan MP</v>
          </cell>
          <cell r="C279" t="str">
            <v>Male</v>
          </cell>
          <cell r="I279" t="str">
            <v>15/9/1976</v>
          </cell>
          <cell r="J279" t="str">
            <v>02:30:00 AM</v>
          </cell>
          <cell r="L279">
            <v>5.5</v>
          </cell>
          <cell r="M279">
            <v>11.016844499999999</v>
          </cell>
          <cell r="N279">
            <v>76.955832099999995</v>
          </cell>
        </row>
        <row r="280">
          <cell r="B280" t="str">
            <v>Lakshmi Subramani</v>
          </cell>
          <cell r="C280" t="str">
            <v>Female</v>
          </cell>
          <cell r="I280" t="str">
            <v>10/4/1965</v>
          </cell>
          <cell r="J280" t="str">
            <v>09:20:00 AM</v>
          </cell>
          <cell r="L280">
            <v>5.5</v>
          </cell>
          <cell r="M280">
            <v>10.9601852</v>
          </cell>
          <cell r="N280">
            <v>79.384497600000003</v>
          </cell>
        </row>
        <row r="281">
          <cell r="B281" t="str">
            <v>Lakshminarayanan</v>
          </cell>
          <cell r="C281" t="str">
            <v>Male</v>
          </cell>
          <cell r="I281" t="str">
            <v>12/7/1933</v>
          </cell>
          <cell r="J281" t="str">
            <v>04:55:00 AM</v>
          </cell>
          <cell r="L281">
            <v>5.5</v>
          </cell>
          <cell r="M281">
            <v>11.664325</v>
          </cell>
          <cell r="N281">
            <v>78.146014199999996</v>
          </cell>
        </row>
        <row r="282">
          <cell r="B282" t="str">
            <v>LastDay_2021</v>
          </cell>
          <cell r="C282" t="str">
            <v>Female</v>
          </cell>
          <cell r="I282" t="str">
            <v>31/12/2021</v>
          </cell>
          <cell r="J282" t="str">
            <v>05:30:00 AM</v>
          </cell>
          <cell r="L282">
            <v>5.5</v>
          </cell>
          <cell r="M282">
            <v>12.740912700000001</v>
          </cell>
          <cell r="N282">
            <v>77.825292300000001</v>
          </cell>
        </row>
        <row r="283">
          <cell r="B283" t="str">
            <v>Lokeshwaran</v>
          </cell>
          <cell r="C283" t="str">
            <v>Male</v>
          </cell>
          <cell r="I283" t="str">
            <v>21/1/1994</v>
          </cell>
          <cell r="J283" t="str">
            <v>10:56:00 AM</v>
          </cell>
          <cell r="L283">
            <v>5.5</v>
          </cell>
          <cell r="M283">
            <v>11.941591499999999</v>
          </cell>
          <cell r="N283">
            <v>79.808313299999995</v>
          </cell>
        </row>
        <row r="284">
          <cell r="B284" t="str">
            <v>Madan</v>
          </cell>
          <cell r="C284" t="str">
            <v>Male</v>
          </cell>
          <cell r="I284" t="str">
            <v>17/8/1992</v>
          </cell>
          <cell r="J284" t="str">
            <v>01:08:00 PM</v>
          </cell>
          <cell r="L284">
            <v>5.5</v>
          </cell>
          <cell r="M284">
            <v>10.786999399999999</v>
          </cell>
          <cell r="N284">
            <v>79.137827400000006</v>
          </cell>
        </row>
        <row r="285">
          <cell r="B285" t="str">
            <v>Madhumati Muralidharan</v>
          </cell>
          <cell r="C285" t="str">
            <v>Female</v>
          </cell>
          <cell r="I285" t="str">
            <v>20/4/1968</v>
          </cell>
          <cell r="J285" t="str">
            <v>03:00:00 AM</v>
          </cell>
          <cell r="L285">
            <v>5.5</v>
          </cell>
          <cell r="M285">
            <v>8.7641661000000006</v>
          </cell>
          <cell r="N285">
            <v>78.134836100000001</v>
          </cell>
        </row>
        <row r="286">
          <cell r="B286" t="str">
            <v>MADHUSUDAN</v>
          </cell>
          <cell r="C286" t="str">
            <v>Male</v>
          </cell>
          <cell r="I286" t="str">
            <v>2/1/1994</v>
          </cell>
          <cell r="J286" t="str">
            <v>09:54:00 AM</v>
          </cell>
          <cell r="L286">
            <v>5.5</v>
          </cell>
          <cell r="M286">
            <v>12.971598699999999</v>
          </cell>
          <cell r="N286">
            <v>77.594562699999997</v>
          </cell>
        </row>
        <row r="287">
          <cell r="B287" t="str">
            <v>MADHUSUDANAN</v>
          </cell>
          <cell r="C287" t="str">
            <v>Male</v>
          </cell>
          <cell r="I287" t="str">
            <v>18/2/1986</v>
          </cell>
          <cell r="J287" t="str">
            <v>09:53:03 AM</v>
          </cell>
          <cell r="L287">
            <v>5.5</v>
          </cell>
          <cell r="M287">
            <v>11.7480419</v>
          </cell>
          <cell r="N287">
            <v>79.771368699999996</v>
          </cell>
        </row>
        <row r="288">
          <cell r="B288" t="str">
            <v>MAHALINGAM P</v>
          </cell>
          <cell r="C288" t="str">
            <v>Male</v>
          </cell>
          <cell r="I288" t="str">
            <v>1/3/1954</v>
          </cell>
          <cell r="J288" t="str">
            <v>11:43:12 AM</v>
          </cell>
          <cell r="L288">
            <v>5.5</v>
          </cell>
          <cell r="M288">
            <v>11.407044900000001</v>
          </cell>
          <cell r="N288">
            <v>79.691245499999994</v>
          </cell>
        </row>
        <row r="289">
          <cell r="B289" t="str">
            <v>Last_1899</v>
          </cell>
          <cell r="C289" t="str">
            <v>Female</v>
          </cell>
          <cell r="I289" t="str">
            <v>31/12/1899</v>
          </cell>
          <cell r="J289">
            <v>0</v>
          </cell>
          <cell r="L289">
            <v>5.5</v>
          </cell>
          <cell r="M289">
            <v>12.716666666666667</v>
          </cell>
          <cell r="N289">
            <v>77.816666666666663</v>
          </cell>
        </row>
        <row r="290">
          <cell r="B290" t="str">
            <v>Mala</v>
          </cell>
          <cell r="C290" t="str">
            <v>Female</v>
          </cell>
          <cell r="I290" t="str">
            <v>10/4/2002</v>
          </cell>
          <cell r="J290" t="str">
            <v>04:30:00 AM</v>
          </cell>
          <cell r="L290">
            <v>5.5</v>
          </cell>
          <cell r="M290">
            <v>12.526982500000001</v>
          </cell>
          <cell r="N290">
            <v>77.789853699999995</v>
          </cell>
        </row>
        <row r="291">
          <cell r="B291" t="str">
            <v>Mala</v>
          </cell>
          <cell r="C291" t="str">
            <v>Female</v>
          </cell>
          <cell r="I291" t="str">
            <v>10/4/2002</v>
          </cell>
          <cell r="J291" t="str">
            <v>04:30:00 AM</v>
          </cell>
          <cell r="L291">
            <v>5.5</v>
          </cell>
          <cell r="M291">
            <v>12.526982500000001</v>
          </cell>
          <cell r="N291">
            <v>77.789853699999995</v>
          </cell>
        </row>
        <row r="292">
          <cell r="B292" t="str">
            <v>Mala HP</v>
          </cell>
          <cell r="C292" t="str">
            <v>Female</v>
          </cell>
          <cell r="I292" t="str">
            <v>25/1/1970</v>
          </cell>
          <cell r="J292">
            <v>3.7499999999999999E-2</v>
          </cell>
          <cell r="L292">
            <v>5.5</v>
          </cell>
          <cell r="M292">
            <v>12.9716</v>
          </cell>
          <cell r="N292">
            <v>77.5946</v>
          </cell>
        </row>
        <row r="293">
          <cell r="B293" t="str">
            <v>Malakodi_A1</v>
          </cell>
          <cell r="C293" t="str">
            <v>Female</v>
          </cell>
          <cell r="I293" t="str">
            <v>14/3/1950</v>
          </cell>
          <cell r="J293" t="str">
            <v>08:00:45 PM</v>
          </cell>
          <cell r="L293">
            <v>5.5</v>
          </cell>
          <cell r="M293">
            <v>10.7904833</v>
          </cell>
          <cell r="N293">
            <v>78.704672500000001</v>
          </cell>
        </row>
        <row r="294">
          <cell r="B294" t="str">
            <v>Malakodi_A3</v>
          </cell>
          <cell r="C294" t="str">
            <v>Female</v>
          </cell>
          <cell r="I294" t="str">
            <v>17/4/1991</v>
          </cell>
          <cell r="J294" t="str">
            <v>01:25:00 PM</v>
          </cell>
          <cell r="L294">
            <v>5.5</v>
          </cell>
          <cell r="M294">
            <v>13.0826802</v>
          </cell>
          <cell r="N294">
            <v>80.270718400000007</v>
          </cell>
        </row>
        <row r="295">
          <cell r="B295" t="str">
            <v>Malarkodi_A1</v>
          </cell>
          <cell r="C295" t="str">
            <v>Female</v>
          </cell>
          <cell r="I295" t="str">
            <v>24/7/1974</v>
          </cell>
          <cell r="J295" t="str">
            <v>05:15:20 AM</v>
          </cell>
          <cell r="L295">
            <v>5.5</v>
          </cell>
          <cell r="M295">
            <v>11.407044900000001</v>
          </cell>
          <cell r="N295">
            <v>79.691245499999994</v>
          </cell>
        </row>
        <row r="296">
          <cell r="B296" t="str">
            <v>Malarkodi_A10</v>
          </cell>
          <cell r="C296" t="str">
            <v>Female</v>
          </cell>
          <cell r="I296" t="str">
            <v>3/12/1987</v>
          </cell>
          <cell r="J296" t="str">
            <v>03:03:50 PM</v>
          </cell>
          <cell r="L296">
            <v>5.5</v>
          </cell>
          <cell r="M296">
            <v>12.502882899999999</v>
          </cell>
          <cell r="N296">
            <v>79.60248</v>
          </cell>
        </row>
        <row r="297">
          <cell r="B297" t="str">
            <v>Malarkodi_A2</v>
          </cell>
          <cell r="C297" t="str">
            <v>Female</v>
          </cell>
          <cell r="I297" t="str">
            <v>11/9/1993</v>
          </cell>
          <cell r="J297" t="str">
            <v>12:53:00 AM</v>
          </cell>
          <cell r="L297">
            <v>5.5</v>
          </cell>
          <cell r="M297">
            <v>13.0587654</v>
          </cell>
          <cell r="N297">
            <v>80.275629699999996</v>
          </cell>
        </row>
        <row r="298">
          <cell r="B298" t="str">
            <v>Malarkodi_A4</v>
          </cell>
          <cell r="C298" t="str">
            <v>Female</v>
          </cell>
          <cell r="I298" t="str">
            <v>19/9/1977</v>
          </cell>
          <cell r="J298" t="str">
            <v>04:21:40 PM</v>
          </cell>
          <cell r="L298">
            <v>5.5</v>
          </cell>
          <cell r="M298">
            <v>13.082831799999999</v>
          </cell>
          <cell r="N298">
            <v>80.241710499999996</v>
          </cell>
        </row>
        <row r="299">
          <cell r="B299" t="str">
            <v>Malarkodi_A6</v>
          </cell>
          <cell r="C299" t="str">
            <v>Female</v>
          </cell>
          <cell r="I299" t="str">
            <v>28/11/1968</v>
          </cell>
          <cell r="J299" t="str">
            <v>09:35:40 AM</v>
          </cell>
          <cell r="L299">
            <v>5.5</v>
          </cell>
          <cell r="M299">
            <v>13.029935999999999</v>
          </cell>
          <cell r="N299">
            <v>80.204800500000005</v>
          </cell>
        </row>
        <row r="300">
          <cell r="B300" t="str">
            <v>Malarkodi_A8</v>
          </cell>
          <cell r="C300" t="str">
            <v>Female</v>
          </cell>
          <cell r="I300" t="str">
            <v>13/10/1971</v>
          </cell>
          <cell r="J300" t="str">
            <v>01:17:30 PM</v>
          </cell>
          <cell r="L300">
            <v>5.5</v>
          </cell>
          <cell r="M300">
            <v>12.9675069</v>
          </cell>
          <cell r="N300">
            <v>80.149095500000001</v>
          </cell>
        </row>
        <row r="301">
          <cell r="B301" t="str">
            <v>Malarkodi_A9</v>
          </cell>
          <cell r="C301" t="str">
            <v>Female</v>
          </cell>
          <cell r="I301" t="str">
            <v>1/7/1996</v>
          </cell>
          <cell r="J301" t="str">
            <v>07:21:50 PM</v>
          </cell>
          <cell r="L301">
            <v>5.5</v>
          </cell>
          <cell r="M301">
            <v>13.123055799999999</v>
          </cell>
          <cell r="N301">
            <v>79.911952600000006</v>
          </cell>
        </row>
        <row r="302">
          <cell r="B302" t="str">
            <v>Malathi Suresh</v>
          </cell>
          <cell r="C302" t="str">
            <v>Female</v>
          </cell>
          <cell r="I302" t="str">
            <v>25/2/1974</v>
          </cell>
          <cell r="J302" t="str">
            <v>05:42:59 AM</v>
          </cell>
          <cell r="L302">
            <v>5.5</v>
          </cell>
          <cell r="M302">
            <v>19.218330699999999</v>
          </cell>
          <cell r="N302">
            <v>72.978089699999998</v>
          </cell>
        </row>
        <row r="303">
          <cell r="B303" t="str">
            <v>Mangalam Balasubramanian</v>
          </cell>
          <cell r="C303" t="str">
            <v>Female</v>
          </cell>
          <cell r="I303" t="str">
            <v>7/7/1945</v>
          </cell>
          <cell r="J303" t="str">
            <v>08:47:55 PM</v>
          </cell>
          <cell r="L303">
            <v>5.5</v>
          </cell>
          <cell r="M303">
            <v>11.407044900000001</v>
          </cell>
          <cell r="N303">
            <v>79.691245499999994</v>
          </cell>
        </row>
        <row r="304">
          <cell r="B304" t="str">
            <v>Mani</v>
          </cell>
          <cell r="C304" t="str">
            <v>Male</v>
          </cell>
          <cell r="I304" t="str">
            <v>4/12/1970</v>
          </cell>
          <cell r="J304" t="str">
            <v>06:28:12 PM</v>
          </cell>
          <cell r="L304">
            <v>5.5</v>
          </cell>
          <cell r="M304">
            <v>8.7139126000000005</v>
          </cell>
          <cell r="N304">
            <v>77.756652299999999</v>
          </cell>
        </row>
        <row r="305">
          <cell r="B305" t="str">
            <v>Mani K (business)</v>
          </cell>
          <cell r="C305" t="str">
            <v>Male</v>
          </cell>
          <cell r="I305" t="str">
            <v>14/1/1952</v>
          </cell>
          <cell r="J305" t="str">
            <v>03:01:45 AM</v>
          </cell>
          <cell r="L305">
            <v>5.5</v>
          </cell>
          <cell r="M305">
            <v>12.6713363</v>
          </cell>
          <cell r="N305">
            <v>79.281758999999994</v>
          </cell>
        </row>
        <row r="306">
          <cell r="B306" t="str">
            <v>Manikandan</v>
          </cell>
          <cell r="C306" t="str">
            <v>Male</v>
          </cell>
          <cell r="I306" t="str">
            <v>21/5/1990</v>
          </cell>
          <cell r="J306" t="str">
            <v>09:21:00 PM</v>
          </cell>
          <cell r="L306">
            <v>5.5</v>
          </cell>
          <cell r="M306">
            <v>13.0840593</v>
          </cell>
          <cell r="N306">
            <v>79.670412799999994</v>
          </cell>
        </row>
        <row r="307">
          <cell r="B307" t="str">
            <v>Manikandan Siddha</v>
          </cell>
          <cell r="C307" t="str">
            <v>Male</v>
          </cell>
          <cell r="I307" t="str">
            <v>6/9/1981</v>
          </cell>
          <cell r="J307">
            <v>0.75694444444444453</v>
          </cell>
          <cell r="L307">
            <v>5.5</v>
          </cell>
          <cell r="M307">
            <v>9.9252006999999995</v>
          </cell>
          <cell r="N307">
            <v>78.119775399999995</v>
          </cell>
        </row>
        <row r="308">
          <cell r="B308" t="str">
            <v>Manimaran</v>
          </cell>
          <cell r="C308" t="str">
            <v>Male</v>
          </cell>
          <cell r="I308" t="str">
            <v>24/10/1997</v>
          </cell>
          <cell r="J308" t="str">
            <v>04:00:27 PM</v>
          </cell>
          <cell r="L308">
            <v>5.5</v>
          </cell>
          <cell r="M308">
            <v>12.740912700000001</v>
          </cell>
          <cell r="N308">
            <v>77.825292300000001</v>
          </cell>
        </row>
        <row r="309">
          <cell r="B309" t="str">
            <v>Manjunath S</v>
          </cell>
          <cell r="C309" t="str">
            <v>Male</v>
          </cell>
          <cell r="I309" t="str">
            <v>22/2/1995</v>
          </cell>
          <cell r="J309" t="str">
            <v>02:20:00 PM</v>
          </cell>
          <cell r="L309">
            <v>5.5</v>
          </cell>
          <cell r="M309">
            <v>12.971598699999999</v>
          </cell>
          <cell r="N309">
            <v>77.594562699999997</v>
          </cell>
        </row>
        <row r="310">
          <cell r="B310" t="str">
            <v>Manjunath_Krishna</v>
          </cell>
          <cell r="C310" t="str">
            <v>Male</v>
          </cell>
          <cell r="I310" t="str">
            <v>20/7/1968</v>
          </cell>
          <cell r="J310">
            <v>0.80902777777777779</v>
          </cell>
          <cell r="L310">
            <v>5.5</v>
          </cell>
          <cell r="M310">
            <v>12.8</v>
          </cell>
          <cell r="N310">
            <v>76.75</v>
          </cell>
        </row>
        <row r="311">
          <cell r="B311" t="str">
            <v>Manjushree</v>
          </cell>
          <cell r="C311" t="str">
            <v>Female</v>
          </cell>
          <cell r="I311" t="str">
            <v>12/8/1991</v>
          </cell>
          <cell r="J311" t="str">
            <v>03:48:00 AM</v>
          </cell>
          <cell r="L311">
            <v>5.5</v>
          </cell>
          <cell r="M311">
            <v>19.075983699999998</v>
          </cell>
          <cell r="N311">
            <v>72.877655899999993</v>
          </cell>
        </row>
        <row r="312">
          <cell r="B312" t="str">
            <v>Manokaran</v>
          </cell>
          <cell r="C312" t="str">
            <v>Male</v>
          </cell>
          <cell r="I312" t="str">
            <v>12/4/1962</v>
          </cell>
          <cell r="J312" t="str">
            <v>12:15:05 PM</v>
          </cell>
          <cell r="L312">
            <v>5.5</v>
          </cell>
          <cell r="M312">
            <v>10.6648689</v>
          </cell>
          <cell r="N312">
            <v>79.450715200000005</v>
          </cell>
        </row>
        <row r="313">
          <cell r="B313" t="str">
            <v>MARU</v>
          </cell>
          <cell r="C313" t="str">
            <v>Female</v>
          </cell>
          <cell r="I313" t="str">
            <v>12/5/2003</v>
          </cell>
          <cell r="J313" t="str">
            <v>02:07:05 PM</v>
          </cell>
          <cell r="L313">
            <v>5.5</v>
          </cell>
          <cell r="M313">
            <v>8.7198948999999999</v>
          </cell>
          <cell r="N313">
            <v>77.734428800000003</v>
          </cell>
        </row>
        <row r="314">
          <cell r="B314" t="str">
            <v>MarriageNO_Case1</v>
          </cell>
          <cell r="C314" t="str">
            <v>Male</v>
          </cell>
          <cell r="I314" t="str">
            <v>19/2/1959</v>
          </cell>
          <cell r="J314">
            <v>0.19791666666666666</v>
          </cell>
          <cell r="L314">
            <v>1</v>
          </cell>
          <cell r="M314">
            <v>50.733333333333334</v>
          </cell>
          <cell r="N314">
            <v>7.1</v>
          </cell>
        </row>
        <row r="315">
          <cell r="B315" t="str">
            <v>MarriageNO_Case2</v>
          </cell>
          <cell r="C315" t="str">
            <v>Male</v>
          </cell>
          <cell r="I315" t="str">
            <v>11/11/1958</v>
          </cell>
          <cell r="J315">
            <v>2.0833333333333333E-3</v>
          </cell>
          <cell r="L315">
            <v>5.5</v>
          </cell>
          <cell r="M315">
            <v>28.666666666666668</v>
          </cell>
          <cell r="N315">
            <v>77.216666666666669</v>
          </cell>
        </row>
        <row r="316">
          <cell r="B316" t="str">
            <v>MarriageNO_Case3</v>
          </cell>
          <cell r="C316" t="str">
            <v>Male</v>
          </cell>
          <cell r="I316" t="str">
            <v>18/5/1961</v>
          </cell>
          <cell r="J316">
            <v>0.39930555555555558</v>
          </cell>
          <cell r="L316">
            <v>5.5</v>
          </cell>
          <cell r="M316">
            <v>31.616666666666667</v>
          </cell>
          <cell r="N316">
            <v>74.849999999999994</v>
          </cell>
        </row>
        <row r="317">
          <cell r="B317" t="str">
            <v>MarriageNO_Case4</v>
          </cell>
          <cell r="C317" t="str">
            <v>Male</v>
          </cell>
          <cell r="I317" t="str">
            <v>16/6/1954</v>
          </cell>
          <cell r="J317">
            <v>0.83333333333333337</v>
          </cell>
          <cell r="L317">
            <v>5.5</v>
          </cell>
          <cell r="M317">
            <v>28.666666666666668</v>
          </cell>
          <cell r="N317">
            <v>77.216666666666669</v>
          </cell>
        </row>
        <row r="318">
          <cell r="B318" t="str">
            <v>MarriageNO_Case5</v>
          </cell>
          <cell r="C318" t="str">
            <v>Male</v>
          </cell>
          <cell r="I318" t="str">
            <v>12/10/1931</v>
          </cell>
          <cell r="J318">
            <v>0.32916666666666666</v>
          </cell>
          <cell r="L318">
            <v>5.5</v>
          </cell>
          <cell r="M318">
            <v>16.166666666666668</v>
          </cell>
          <cell r="N318">
            <v>81.13333333333334</v>
          </cell>
        </row>
        <row r="319">
          <cell r="B319" t="str">
            <v>MarriageNO_Case6</v>
          </cell>
          <cell r="C319" t="str">
            <v>Male</v>
          </cell>
          <cell r="I319" t="str">
            <v>21/10/1955</v>
          </cell>
          <cell r="J319">
            <v>0.15972222222222224</v>
          </cell>
          <cell r="L319">
            <v>5.5</v>
          </cell>
          <cell r="M319">
            <v>15.333333333333334</v>
          </cell>
          <cell r="N319">
            <v>76.5</v>
          </cell>
        </row>
        <row r="320">
          <cell r="B320" t="str">
            <v>MarriageNO_Case7</v>
          </cell>
          <cell r="C320" t="str">
            <v>Male</v>
          </cell>
          <cell r="I320" t="str">
            <v>11/7/1968</v>
          </cell>
          <cell r="J320">
            <v>0.63680555555555551</v>
          </cell>
          <cell r="L320">
            <v>5.5</v>
          </cell>
          <cell r="M320">
            <v>17.383333333333333</v>
          </cell>
          <cell r="N320">
            <v>78.466666666666669</v>
          </cell>
        </row>
        <row r="321">
          <cell r="B321" t="str">
            <v>MarriageNO_Case8</v>
          </cell>
          <cell r="C321" t="str">
            <v>Male</v>
          </cell>
          <cell r="I321" t="str">
            <v>16/5/1967</v>
          </cell>
          <cell r="J321">
            <v>0.66319444444444442</v>
          </cell>
          <cell r="L321">
            <v>5.5</v>
          </cell>
          <cell r="M321">
            <v>28.983333333333334</v>
          </cell>
          <cell r="N321">
            <v>77.7</v>
          </cell>
        </row>
        <row r="322">
          <cell r="B322" t="str">
            <v>Maya</v>
          </cell>
          <cell r="C322" t="str">
            <v>Female</v>
          </cell>
          <cell r="I322" t="str">
            <v>21/4/2020</v>
          </cell>
          <cell r="J322" t="str">
            <v>11:53:00 AM</v>
          </cell>
          <cell r="L322">
            <v>5.5</v>
          </cell>
          <cell r="M322">
            <v>-36.8508827</v>
          </cell>
          <cell r="N322">
            <v>174.76448809999999</v>
          </cell>
        </row>
        <row r="323">
          <cell r="B323" t="str">
            <v>Meenakshi</v>
          </cell>
          <cell r="C323" t="str">
            <v>Female</v>
          </cell>
          <cell r="I323" t="str">
            <v>1/4/1993</v>
          </cell>
          <cell r="J323" t="str">
            <v>02:42:45 PM</v>
          </cell>
          <cell r="L323">
            <v>5.5</v>
          </cell>
          <cell r="M323">
            <v>12.951611</v>
          </cell>
          <cell r="N323">
            <v>80.146166300000004</v>
          </cell>
        </row>
        <row r="324">
          <cell r="B324" t="str">
            <v>Meenakshi</v>
          </cell>
          <cell r="C324" t="str">
            <v>Female</v>
          </cell>
          <cell r="I324" t="str">
            <v>12/11/1988</v>
          </cell>
          <cell r="J324" t="str">
            <v>03:39:00 AM</v>
          </cell>
          <cell r="L324">
            <v>5.5</v>
          </cell>
          <cell r="M324">
            <v>13.0826802</v>
          </cell>
          <cell r="N324">
            <v>80.270718400000007</v>
          </cell>
        </row>
        <row r="325">
          <cell r="B325" t="str">
            <v>MEENAKSHI SRI</v>
          </cell>
          <cell r="C325" t="str">
            <v>Female</v>
          </cell>
          <cell r="I325" t="str">
            <v>7/10/1993</v>
          </cell>
          <cell r="J325" t="str">
            <v>07:43:00 PM</v>
          </cell>
          <cell r="L325">
            <v>5.5</v>
          </cell>
          <cell r="M325">
            <v>13.0826802</v>
          </cell>
          <cell r="N325">
            <v>80.270718400000007</v>
          </cell>
        </row>
        <row r="326">
          <cell r="B326" t="str">
            <v>Megala</v>
          </cell>
          <cell r="C326" t="str">
            <v>Female</v>
          </cell>
          <cell r="I326" t="str">
            <v>20/3/1971</v>
          </cell>
          <cell r="J326" t="str">
            <v>09:28:45 AM</v>
          </cell>
          <cell r="L326">
            <v>5.5</v>
          </cell>
          <cell r="M326">
            <v>11.2427777</v>
          </cell>
          <cell r="N326">
            <v>76.958653200000001</v>
          </cell>
        </row>
        <row r="327">
          <cell r="B327" t="str">
            <v>MINAKSHI</v>
          </cell>
          <cell r="C327" t="str">
            <v>Female</v>
          </cell>
          <cell r="I327" t="str">
            <v>17/6/2000</v>
          </cell>
          <cell r="J327" t="str">
            <v>02:30:00 AM</v>
          </cell>
          <cell r="L327">
            <v>5.5</v>
          </cell>
          <cell r="M327">
            <v>10.9612134</v>
          </cell>
          <cell r="N327">
            <v>79.660034300000007</v>
          </cell>
        </row>
        <row r="328">
          <cell r="B328" t="str">
            <v>Mithraram</v>
          </cell>
          <cell r="C328" t="str">
            <v>Male</v>
          </cell>
          <cell r="I328" t="str">
            <v>14/8/1991</v>
          </cell>
          <cell r="J328" t="str">
            <v>09:26:00 AM</v>
          </cell>
          <cell r="L328">
            <v>5.5</v>
          </cell>
          <cell r="M328">
            <v>17.385044000000001</v>
          </cell>
          <cell r="N328">
            <v>78.486671000000001</v>
          </cell>
        </row>
        <row r="329">
          <cell r="B329" t="str">
            <v>Mohanarupa</v>
          </cell>
          <cell r="C329" t="str">
            <v>Female</v>
          </cell>
          <cell r="I329" t="str">
            <v>6/8/1997</v>
          </cell>
          <cell r="J329" t="str">
            <v>03:30:36 PM</v>
          </cell>
          <cell r="L329">
            <v>5.5</v>
          </cell>
          <cell r="M329">
            <v>14.1463424</v>
          </cell>
          <cell r="N329">
            <v>79.850380900000005</v>
          </cell>
        </row>
        <row r="330">
          <cell r="B330" t="str">
            <v>Mohit</v>
          </cell>
          <cell r="C330" t="str">
            <v>Male</v>
          </cell>
          <cell r="I330" t="str">
            <v>14/2/2006</v>
          </cell>
          <cell r="J330" t="str">
            <v>03:28:00 PM</v>
          </cell>
          <cell r="L330">
            <v>5.5</v>
          </cell>
          <cell r="M330">
            <v>12.740912700000001</v>
          </cell>
          <cell r="N330">
            <v>77.825292300000001</v>
          </cell>
        </row>
        <row r="331">
          <cell r="B331" t="str">
            <v>Monish</v>
          </cell>
          <cell r="C331" t="str">
            <v>Male</v>
          </cell>
          <cell r="I331" t="str">
            <v>3/7/1995</v>
          </cell>
          <cell r="J331" t="str">
            <v>08:15:10 PM</v>
          </cell>
          <cell r="L331">
            <v>5.5</v>
          </cell>
          <cell r="M331">
            <v>11.664325</v>
          </cell>
          <cell r="N331">
            <v>78.146014199999996</v>
          </cell>
        </row>
        <row r="332">
          <cell r="B332" t="str">
            <v>Monisha</v>
          </cell>
          <cell r="C332" t="str">
            <v>Female</v>
          </cell>
          <cell r="I332" t="str">
            <v>27/5/2015</v>
          </cell>
          <cell r="J332" t="str">
            <v>12:36:10 AM</v>
          </cell>
          <cell r="L332">
            <v>5.5</v>
          </cell>
          <cell r="M332">
            <v>12.4214652</v>
          </cell>
          <cell r="N332">
            <v>78.217443500000002</v>
          </cell>
        </row>
        <row r="333">
          <cell r="B333" t="str">
            <v>MS Prabhakaran</v>
          </cell>
          <cell r="C333" t="str">
            <v>Male</v>
          </cell>
          <cell r="I333" t="str">
            <v>13/4/1990</v>
          </cell>
          <cell r="J333" t="str">
            <v>07:45:20 PM</v>
          </cell>
          <cell r="L333">
            <v>5.5</v>
          </cell>
          <cell r="M333">
            <v>12.1210997</v>
          </cell>
          <cell r="N333">
            <v>78.158214299999997</v>
          </cell>
        </row>
        <row r="334">
          <cell r="B334" t="str">
            <v>Mukul Venkataraman</v>
          </cell>
          <cell r="C334" t="str">
            <v>Male</v>
          </cell>
          <cell r="I334" t="str">
            <v>26/11/1994</v>
          </cell>
          <cell r="J334" t="str">
            <v>07:32:00 AM</v>
          </cell>
          <cell r="L334">
            <v>5.5</v>
          </cell>
          <cell r="M334">
            <v>12.342642400000001</v>
          </cell>
          <cell r="N334">
            <v>80.011395899999997</v>
          </cell>
        </row>
        <row r="335">
          <cell r="B335" t="str">
            <v>Murali VLV</v>
          </cell>
          <cell r="C335" t="str">
            <v>Male</v>
          </cell>
          <cell r="I335" t="str">
            <v>29/2/1964</v>
          </cell>
          <cell r="J335">
            <v>0.9375</v>
          </cell>
          <cell r="L335">
            <v>5.5</v>
          </cell>
          <cell r="M335">
            <v>10.802777777777779</v>
          </cell>
          <cell r="N335">
            <v>78.698888888888888</v>
          </cell>
        </row>
        <row r="336">
          <cell r="B336" t="str">
            <v>Muthu (h/o reka)</v>
          </cell>
          <cell r="C336" t="str">
            <v>Male</v>
          </cell>
          <cell r="I336" t="str">
            <v>17/12/1982</v>
          </cell>
          <cell r="J336" t="str">
            <v>06:19:05 PM</v>
          </cell>
          <cell r="L336">
            <v>5.5</v>
          </cell>
          <cell r="M336">
            <v>11.016844499999999</v>
          </cell>
          <cell r="N336">
            <v>76.955832099999995</v>
          </cell>
        </row>
        <row r="337">
          <cell r="B337" t="str">
            <v>MUTHUKRISHNAN</v>
          </cell>
          <cell r="C337" t="str">
            <v>Male</v>
          </cell>
          <cell r="I337" t="str">
            <v>16/12/1957</v>
          </cell>
          <cell r="J337" t="str">
            <v>06:23:30 PM</v>
          </cell>
          <cell r="L337">
            <v>5.5</v>
          </cell>
          <cell r="M337">
            <v>10.7904833</v>
          </cell>
          <cell r="N337">
            <v>78.704672500000001</v>
          </cell>
        </row>
        <row r="338">
          <cell r="B338" t="str">
            <v>Mv(26059)</v>
          </cell>
          <cell r="C338" t="str">
            <v>Male</v>
          </cell>
          <cell r="I338" t="str">
            <v>12/8/1985</v>
          </cell>
          <cell r="J338" t="str">
            <v>12:19:30 AM</v>
          </cell>
          <cell r="L338">
            <v>5.5</v>
          </cell>
          <cell r="M338">
            <v>10.925439799999999</v>
          </cell>
          <cell r="N338">
            <v>79.838005600000002</v>
          </cell>
        </row>
        <row r="339">
          <cell r="B339" t="str">
            <v>Na</v>
          </cell>
          <cell r="C339" t="str">
            <v>Male</v>
          </cell>
          <cell r="I339" t="str">
            <v>3/5/1988</v>
          </cell>
          <cell r="J339">
            <v>0.82650462962962967</v>
          </cell>
          <cell r="L339">
            <v>5.5</v>
          </cell>
          <cell r="M339">
            <v>11.651111111111112</v>
          </cell>
          <cell r="N339">
            <v>78.158611111111114</v>
          </cell>
        </row>
        <row r="340">
          <cell r="B340" t="str">
            <v>Nagakeerthana</v>
          </cell>
          <cell r="C340" t="str">
            <v>Female</v>
          </cell>
          <cell r="I340" t="str">
            <v>26/7/1997</v>
          </cell>
          <cell r="J340" t="str">
            <v>10:10:00 AM</v>
          </cell>
          <cell r="L340">
            <v>5.5</v>
          </cell>
          <cell r="M340">
            <v>17.614007699999998</v>
          </cell>
          <cell r="N340">
            <v>78.081562700000006</v>
          </cell>
        </row>
        <row r="341">
          <cell r="B341" t="str">
            <v>NAGARAJ B</v>
          </cell>
          <cell r="C341" t="str">
            <v>Male</v>
          </cell>
          <cell r="I341" t="str">
            <v>17/12/1993</v>
          </cell>
          <cell r="J341" t="str">
            <v>06:45:00 AM</v>
          </cell>
          <cell r="L341">
            <v>5.5</v>
          </cell>
          <cell r="M341">
            <v>11.016844499999999</v>
          </cell>
          <cell r="N341">
            <v>76.955832099999995</v>
          </cell>
        </row>
        <row r="342">
          <cell r="B342" t="str">
            <v>Nagendran</v>
          </cell>
          <cell r="C342" t="str">
            <v>Male</v>
          </cell>
          <cell r="I342" t="str">
            <v>22/12/1953</v>
          </cell>
          <cell r="J342" t="str">
            <v>06:55:00 PM</v>
          </cell>
          <cell r="L342">
            <v>5.5</v>
          </cell>
          <cell r="M342">
            <v>10.7904833</v>
          </cell>
          <cell r="N342">
            <v>78.704672500000001</v>
          </cell>
        </row>
        <row r="343">
          <cell r="B343" t="str">
            <v>NAGENDRAN SRINIVASAN</v>
          </cell>
          <cell r="C343" t="str">
            <v>Male</v>
          </cell>
          <cell r="I343" t="str">
            <v>1/10/1983</v>
          </cell>
          <cell r="J343" t="str">
            <v>06:44:30 AM</v>
          </cell>
          <cell r="L343">
            <v>5.5</v>
          </cell>
          <cell r="M343">
            <v>10.7904833</v>
          </cell>
          <cell r="N343">
            <v>78.704672500000001</v>
          </cell>
        </row>
        <row r="344">
          <cell r="B344" t="str">
            <v>Nagulan K</v>
          </cell>
          <cell r="C344" t="str">
            <v>Male</v>
          </cell>
          <cell r="I344" t="str">
            <v>17/4/1992</v>
          </cell>
          <cell r="J344" t="str">
            <v>04:00:00 AM</v>
          </cell>
          <cell r="L344">
            <v>5.5</v>
          </cell>
          <cell r="M344">
            <v>12.740912700000001</v>
          </cell>
          <cell r="N344">
            <v>77.825292300000001</v>
          </cell>
        </row>
        <row r="345">
          <cell r="B345" t="str">
            <v>Nallai</v>
          </cell>
          <cell r="C345" t="str">
            <v>Female</v>
          </cell>
          <cell r="I345" t="str">
            <v>24/10/1958</v>
          </cell>
          <cell r="J345" t="str">
            <v>11:00:35 AM</v>
          </cell>
          <cell r="L345">
            <v>5.5</v>
          </cell>
          <cell r="M345">
            <v>8.1009466999999997</v>
          </cell>
          <cell r="N345">
            <v>77.536169000000001</v>
          </cell>
        </row>
        <row r="346">
          <cell r="B346" t="str">
            <v>Nandhini</v>
          </cell>
          <cell r="C346" t="str">
            <v>Female</v>
          </cell>
          <cell r="I346" t="str">
            <v>27/8/1997</v>
          </cell>
          <cell r="J346" t="str">
            <v>02:38:00 PM</v>
          </cell>
          <cell r="L346">
            <v>5.5</v>
          </cell>
          <cell r="M346">
            <v>10.073539999999999</v>
          </cell>
          <cell r="N346">
            <v>78.773197999999994</v>
          </cell>
        </row>
        <row r="347">
          <cell r="B347" t="str">
            <v>Narendra Babu</v>
          </cell>
          <cell r="C347" t="str">
            <v>Male</v>
          </cell>
          <cell r="I347" t="str">
            <v>1/1/1973</v>
          </cell>
          <cell r="J347" t="str">
            <v>04:36:08 PM</v>
          </cell>
          <cell r="L347">
            <v>5.5</v>
          </cell>
          <cell r="M347">
            <v>12.971598699999999</v>
          </cell>
          <cell r="N347">
            <v>77.594562699999997</v>
          </cell>
        </row>
        <row r="348">
          <cell r="B348" t="str">
            <v>Narendra Modi</v>
          </cell>
          <cell r="C348" t="str">
            <v>Male</v>
          </cell>
          <cell r="I348" t="str">
            <v>17/9/1950</v>
          </cell>
          <cell r="J348" t="str">
            <v>11:00:00 AM</v>
          </cell>
          <cell r="L348">
            <v>5.5</v>
          </cell>
          <cell r="M348">
            <v>23.775725900000001</v>
          </cell>
          <cell r="N348">
            <v>72.616564299999993</v>
          </cell>
        </row>
        <row r="349">
          <cell r="B349" t="str">
            <v>Narmatha Gurumoorthy</v>
          </cell>
          <cell r="C349" t="str">
            <v>Female</v>
          </cell>
          <cell r="I349" t="str">
            <v>11/11/1969</v>
          </cell>
          <cell r="J349" t="str">
            <v>12:07:55 AM</v>
          </cell>
          <cell r="L349">
            <v>5.5</v>
          </cell>
          <cell r="M349">
            <v>12.818455999999999</v>
          </cell>
          <cell r="N349">
            <v>79.694658599999997</v>
          </cell>
        </row>
        <row r="350">
          <cell r="B350" t="str">
            <v>Narmathadevi 2 planet dominant</v>
          </cell>
          <cell r="C350" t="str">
            <v>Female</v>
          </cell>
          <cell r="I350" t="str">
            <v>11/5/1990</v>
          </cell>
          <cell r="J350">
            <v>0.68215277777777772</v>
          </cell>
          <cell r="L350">
            <v>5.5</v>
          </cell>
          <cell r="M350">
            <v>11.454824800000001</v>
          </cell>
          <cell r="N350">
            <v>77.436536799999999</v>
          </cell>
        </row>
        <row r="351">
          <cell r="B351" t="str">
            <v>NATARAJAN RAJAGOPALAN</v>
          </cell>
          <cell r="C351" t="str">
            <v>Male</v>
          </cell>
          <cell r="I351" t="str">
            <v>20/12/1957</v>
          </cell>
          <cell r="J351" t="str">
            <v>05:15:00 AM</v>
          </cell>
          <cell r="L351">
            <v>5.5</v>
          </cell>
          <cell r="M351">
            <v>11.016844499999999</v>
          </cell>
          <cell r="N351">
            <v>76.955832099999995</v>
          </cell>
        </row>
        <row r="352">
          <cell r="B352" t="str">
            <v>Nathuram Vinayak Godse</v>
          </cell>
          <cell r="C352" t="str">
            <v>Male</v>
          </cell>
          <cell r="I352" t="str">
            <v>19/5/1910</v>
          </cell>
          <cell r="J352" t="str">
            <v>08:29:00 AM</v>
          </cell>
          <cell r="L352">
            <v>5.5</v>
          </cell>
          <cell r="M352">
            <v>18.179179099999999</v>
          </cell>
          <cell r="N352">
            <v>74.607797099999999</v>
          </cell>
        </row>
        <row r="353">
          <cell r="B353" t="str">
            <v>NAVEEN JAGDISH</v>
          </cell>
          <cell r="C353" t="str">
            <v>Male</v>
          </cell>
          <cell r="I353" t="str">
            <v>25/12/1990</v>
          </cell>
          <cell r="J353" t="str">
            <v>11:32:00 PM</v>
          </cell>
          <cell r="L353">
            <v>5.5</v>
          </cell>
          <cell r="M353">
            <v>18.520430300000001</v>
          </cell>
          <cell r="N353">
            <v>73.856743699999996</v>
          </cell>
        </row>
        <row r="354">
          <cell r="B354" t="str">
            <v>Naveen Kalai</v>
          </cell>
          <cell r="C354" t="str">
            <v>Male</v>
          </cell>
          <cell r="I354" t="str">
            <v>22/9/1997</v>
          </cell>
          <cell r="J354" t="str">
            <v>04:34:00 PM</v>
          </cell>
          <cell r="L354">
            <v>5.5</v>
          </cell>
          <cell r="M354">
            <v>10.7904833</v>
          </cell>
          <cell r="N354">
            <v>78.704672500000001</v>
          </cell>
        </row>
        <row r="355">
          <cell r="B355" t="str">
            <v>Naveena S</v>
          </cell>
          <cell r="C355" t="str">
            <v>Female</v>
          </cell>
          <cell r="I355" t="str">
            <v>9/9/1999</v>
          </cell>
          <cell r="J355" t="str">
            <v>04:57:15 PM</v>
          </cell>
          <cell r="L355">
            <v>5.5</v>
          </cell>
          <cell r="M355">
            <v>12.5265661</v>
          </cell>
          <cell r="N355">
            <v>78.214957499999997</v>
          </cell>
        </row>
        <row r="356">
          <cell r="B356" t="str">
            <v>Naveenkumar</v>
          </cell>
          <cell r="C356" t="str">
            <v>Male</v>
          </cell>
          <cell r="I356" t="str">
            <v>15/7/1994</v>
          </cell>
          <cell r="J356" t="str">
            <v>05:30:00 AM</v>
          </cell>
          <cell r="L356">
            <v>5.5</v>
          </cell>
          <cell r="M356">
            <v>12.7090575</v>
          </cell>
          <cell r="N356">
            <v>77.699226499999995</v>
          </cell>
        </row>
        <row r="357">
          <cell r="B357" t="str">
            <v>Ni</v>
          </cell>
          <cell r="C357" t="str">
            <v>Female</v>
          </cell>
          <cell r="I357" t="str">
            <v>5/12/1993</v>
          </cell>
          <cell r="J357" t="str">
            <v>09:31:00 AM</v>
          </cell>
          <cell r="L357">
            <v>5.5</v>
          </cell>
          <cell r="M357">
            <v>13.114339299999999</v>
          </cell>
          <cell r="N357">
            <v>80.154784399999997</v>
          </cell>
        </row>
        <row r="358">
          <cell r="B358" t="str">
            <v>Niranjan</v>
          </cell>
          <cell r="C358" t="str">
            <v>Male</v>
          </cell>
          <cell r="I358" t="str">
            <v>9/5/1993</v>
          </cell>
          <cell r="J358" t="str">
            <v>06:15:00 PM</v>
          </cell>
          <cell r="L358">
            <v>5.5</v>
          </cell>
          <cell r="M358">
            <v>13.003323399999999</v>
          </cell>
          <cell r="N358">
            <v>76.100389399999997</v>
          </cell>
        </row>
        <row r="359">
          <cell r="B359" t="str">
            <v>Niranjana K</v>
          </cell>
          <cell r="C359" t="str">
            <v>Male</v>
          </cell>
          <cell r="I359" t="str">
            <v>4/5/1996</v>
          </cell>
          <cell r="J359" t="str">
            <v>05:35:00 PM</v>
          </cell>
          <cell r="L359">
            <v>5.5</v>
          </cell>
          <cell r="M359">
            <v>12.9249308</v>
          </cell>
          <cell r="N359">
            <v>80.100002599999996</v>
          </cell>
        </row>
        <row r="360">
          <cell r="B360" t="str">
            <v>Nitin</v>
          </cell>
          <cell r="C360" t="str">
            <v>Male</v>
          </cell>
          <cell r="I360" t="str">
            <v>28/1/1992</v>
          </cell>
          <cell r="J360" t="str">
            <v>10:45:00 PM</v>
          </cell>
          <cell r="L360">
            <v>5.5</v>
          </cell>
          <cell r="M360">
            <v>8.4946140999999997</v>
          </cell>
          <cell r="N360">
            <v>78.121853099999996</v>
          </cell>
        </row>
        <row r="361">
          <cell r="B361" t="str">
            <v>Nityapoorani</v>
          </cell>
          <cell r="C361" t="str">
            <v>Female</v>
          </cell>
          <cell r="I361" t="str">
            <v>25/8/2002</v>
          </cell>
          <cell r="J361" t="str">
            <v>07:54:30 PM</v>
          </cell>
          <cell r="L361">
            <v>5.5</v>
          </cell>
          <cell r="M361">
            <v>10.3623794</v>
          </cell>
          <cell r="N361">
            <v>77.969457899999995</v>
          </cell>
        </row>
        <row r="362">
          <cell r="B362" t="str">
            <v>NIVEDITA</v>
          </cell>
          <cell r="C362" t="str">
            <v>Female</v>
          </cell>
          <cell r="I362" t="str">
            <v>29/12/1982</v>
          </cell>
          <cell r="J362" t="str">
            <v>06:13:00 AM</v>
          </cell>
          <cell r="L362">
            <v>5.5</v>
          </cell>
          <cell r="M362">
            <v>10.850266100000001</v>
          </cell>
          <cell r="N362">
            <v>78.699769900000007</v>
          </cell>
        </row>
        <row r="363">
          <cell r="B363" t="str">
            <v>NTP-II, p25 Starters/Rulers SeshadriIyer</v>
          </cell>
          <cell r="C363" t="str">
            <v>Male</v>
          </cell>
          <cell r="I363" t="str">
            <v>19/6/1907</v>
          </cell>
          <cell r="J363">
            <v>0.79791666666666661</v>
          </cell>
          <cell r="L363">
            <v>5.5</v>
          </cell>
          <cell r="M363">
            <v>10.766666666666667</v>
          </cell>
          <cell r="N363">
            <v>79.650000000000006</v>
          </cell>
        </row>
        <row r="364">
          <cell r="B364" t="str">
            <v>Padmanabhan</v>
          </cell>
          <cell r="C364" t="str">
            <v>Male</v>
          </cell>
          <cell r="I364" t="str">
            <v>13/11/1985</v>
          </cell>
          <cell r="J364" t="str">
            <v>05:49:25 PM</v>
          </cell>
          <cell r="L364">
            <v>5.5</v>
          </cell>
          <cell r="M364">
            <v>9.9252006999999995</v>
          </cell>
          <cell r="N364">
            <v>78.119775399999995</v>
          </cell>
        </row>
        <row r="365">
          <cell r="B365" t="str">
            <v>Padmavati Senthil</v>
          </cell>
          <cell r="C365" t="str">
            <v>Female</v>
          </cell>
          <cell r="I365" t="str">
            <v>23/10/1999</v>
          </cell>
          <cell r="J365" t="str">
            <v>06:38:00 AM</v>
          </cell>
          <cell r="L365">
            <v>5.5</v>
          </cell>
          <cell r="M365">
            <v>11.101770500000001</v>
          </cell>
          <cell r="N365">
            <v>79.652568599999995</v>
          </cell>
        </row>
        <row r="366">
          <cell r="B366" t="str">
            <v>Pandi Ganesh</v>
          </cell>
          <cell r="C366" t="str">
            <v>Male</v>
          </cell>
          <cell r="I366" t="str">
            <v>6/10/1988</v>
          </cell>
          <cell r="J366" t="str">
            <v>07:50:00 PM</v>
          </cell>
          <cell r="L366">
            <v>5.5</v>
          </cell>
          <cell r="M366">
            <v>10.073539999999999</v>
          </cell>
          <cell r="N366">
            <v>78.773197999999994</v>
          </cell>
        </row>
        <row r="367">
          <cell r="B367" t="str">
            <v>Pandimeenal</v>
          </cell>
          <cell r="C367" t="str">
            <v>Female</v>
          </cell>
          <cell r="I367" t="str">
            <v>3/11/1982</v>
          </cell>
          <cell r="J367" t="str">
            <v>10:26:38 AM</v>
          </cell>
          <cell r="L367">
            <v>5.5</v>
          </cell>
          <cell r="M367">
            <v>10.109629699999999</v>
          </cell>
          <cell r="N367">
            <v>78.790120299999998</v>
          </cell>
        </row>
        <row r="368">
          <cell r="B368" t="str">
            <v>Par</v>
          </cell>
          <cell r="C368" t="str">
            <v>Female</v>
          </cell>
          <cell r="I368" t="str">
            <v>6/11/1978</v>
          </cell>
          <cell r="J368" t="str">
            <v>02:16:20 AM</v>
          </cell>
          <cell r="L368">
            <v>5.5</v>
          </cell>
          <cell r="M368">
            <v>10.153410300000001</v>
          </cell>
          <cell r="N368">
            <v>77.741628000000006</v>
          </cell>
        </row>
        <row r="369">
          <cell r="B369" t="str">
            <v>Parvati</v>
          </cell>
          <cell r="C369" t="str">
            <v>Female</v>
          </cell>
          <cell r="I369" t="str">
            <v>20/5/1954</v>
          </cell>
          <cell r="J369">
            <v>0.98611111111111116</v>
          </cell>
          <cell r="L369">
            <v>5.5</v>
          </cell>
          <cell r="M369">
            <v>10.7905</v>
          </cell>
          <cell r="N369">
            <v>78.704700000000003</v>
          </cell>
        </row>
        <row r="370">
          <cell r="B370" t="str">
            <v>Parvati Divya</v>
          </cell>
          <cell r="C370" t="str">
            <v>Female</v>
          </cell>
          <cell r="I370" t="str">
            <v>22/12/1990</v>
          </cell>
          <cell r="J370" t="str">
            <v>10:40:00 AM</v>
          </cell>
          <cell r="L370">
            <v>5.5</v>
          </cell>
          <cell r="M370">
            <v>10.383286699999999</v>
          </cell>
          <cell r="N370">
            <v>78.800128999999998</v>
          </cell>
        </row>
        <row r="371">
          <cell r="B371" t="str">
            <v>Pooja</v>
          </cell>
          <cell r="C371" t="str">
            <v>Female</v>
          </cell>
          <cell r="I371" t="str">
            <v>14/7/1998</v>
          </cell>
          <cell r="J371" t="str">
            <v>05:35:00 PM</v>
          </cell>
          <cell r="L371">
            <v>5.5</v>
          </cell>
          <cell r="M371">
            <v>11.941591499999999</v>
          </cell>
          <cell r="N371">
            <v>79.808313299999995</v>
          </cell>
        </row>
        <row r="372">
          <cell r="B372" t="str">
            <v>Pooja A.S.</v>
          </cell>
          <cell r="C372" t="str">
            <v>Female</v>
          </cell>
          <cell r="I372" t="str">
            <v>8/9/2000</v>
          </cell>
          <cell r="J372" t="str">
            <v>03:52:00 PM</v>
          </cell>
          <cell r="L372">
            <v>5.5</v>
          </cell>
          <cell r="M372">
            <v>11.664325</v>
          </cell>
          <cell r="N372">
            <v>78.146014199999996</v>
          </cell>
        </row>
        <row r="373">
          <cell r="B373" t="str">
            <v>Poorna (ref Gandhi Madhavan)</v>
          </cell>
          <cell r="C373" t="str">
            <v>Female</v>
          </cell>
          <cell r="I373" t="str">
            <v>26/11/2005</v>
          </cell>
          <cell r="J373" t="str">
            <v>11:29:18 PM</v>
          </cell>
          <cell r="L373">
            <v>5.5</v>
          </cell>
          <cell r="M373">
            <v>11.664325</v>
          </cell>
          <cell r="N373">
            <v>78.146014199999996</v>
          </cell>
        </row>
        <row r="374">
          <cell r="B374" t="str">
            <v>Poorna Pushkalambal</v>
          </cell>
          <cell r="C374" t="str">
            <v>Female</v>
          </cell>
          <cell r="I374" t="str">
            <v>24/10/1994</v>
          </cell>
          <cell r="J374" t="str">
            <v>07:25:00 PM</v>
          </cell>
          <cell r="L374">
            <v>5.5</v>
          </cell>
          <cell r="M374">
            <v>10.7904833</v>
          </cell>
          <cell r="N374">
            <v>78.704672500000001</v>
          </cell>
        </row>
        <row r="375">
          <cell r="B375" t="str">
            <v>Poornachandra KS</v>
          </cell>
          <cell r="C375" t="str">
            <v>Female</v>
          </cell>
          <cell r="I375" t="str">
            <v>24/1/2005</v>
          </cell>
          <cell r="J375" t="str">
            <v>03:01:00 PM</v>
          </cell>
          <cell r="L375">
            <v>5.5</v>
          </cell>
          <cell r="M375">
            <v>12.9569869</v>
          </cell>
          <cell r="N375">
            <v>77.562139700000003</v>
          </cell>
        </row>
        <row r="376">
          <cell r="B376" t="str">
            <v>Poornachandran</v>
          </cell>
          <cell r="C376" t="str">
            <v>Male</v>
          </cell>
          <cell r="I376" t="str">
            <v>21/5/1994</v>
          </cell>
          <cell r="J376" t="str">
            <v>07:10:00 AM</v>
          </cell>
          <cell r="L376">
            <v>5.5</v>
          </cell>
          <cell r="M376">
            <v>12.971598699999999</v>
          </cell>
          <cell r="N376">
            <v>77.594562699999997</v>
          </cell>
        </row>
        <row r="377">
          <cell r="B377" t="str">
            <v>Prabha Ganeshkale</v>
          </cell>
          <cell r="C377" t="str">
            <v>Female</v>
          </cell>
          <cell r="I377" t="str">
            <v>1/4/1969</v>
          </cell>
          <cell r="J377">
            <v>0.21388888888888891</v>
          </cell>
          <cell r="L377">
            <v>5.5</v>
          </cell>
          <cell r="M377">
            <v>10.123900000000001</v>
          </cell>
          <cell r="N377">
            <v>77.547499999999999</v>
          </cell>
        </row>
        <row r="378">
          <cell r="B378" t="str">
            <v>Prabhakaran</v>
          </cell>
          <cell r="C378" t="str">
            <v>Male</v>
          </cell>
          <cell r="I378" t="str">
            <v>12/3/1964</v>
          </cell>
          <cell r="J378">
            <v>0.71769675925925924</v>
          </cell>
          <cell r="L378">
            <v>5.5</v>
          </cell>
          <cell r="M378">
            <v>12.216666666666667</v>
          </cell>
          <cell r="N378">
            <v>79.066666666666663</v>
          </cell>
        </row>
        <row r="379">
          <cell r="B379" t="str">
            <v>Pradeep</v>
          </cell>
          <cell r="C379" t="str">
            <v>Male</v>
          </cell>
          <cell r="I379" t="str">
            <v>10/12/1979</v>
          </cell>
          <cell r="J379" t="str">
            <v>03:10:00 PM</v>
          </cell>
          <cell r="L379">
            <v>5.5</v>
          </cell>
          <cell r="M379">
            <v>12.916516700000001</v>
          </cell>
          <cell r="N379">
            <v>79.132498600000005</v>
          </cell>
        </row>
        <row r="380">
          <cell r="B380" t="str">
            <v>Prakruthi</v>
          </cell>
          <cell r="C380" t="str">
            <v>Female</v>
          </cell>
          <cell r="I380" t="str">
            <v>18/2/2005</v>
          </cell>
          <cell r="J380" t="str">
            <v>08:25:00 AM</v>
          </cell>
          <cell r="L380">
            <v>5.5</v>
          </cell>
          <cell r="M380">
            <v>11.664325</v>
          </cell>
          <cell r="N380">
            <v>78.146014199999996</v>
          </cell>
        </row>
        <row r="381">
          <cell r="B381" t="str">
            <v>Pranavanarayanan alias Balaji</v>
          </cell>
          <cell r="C381" t="str">
            <v>Male</v>
          </cell>
          <cell r="I381" t="str">
            <v>4/2/1995</v>
          </cell>
          <cell r="J381" t="str">
            <v>12:15:00 PM</v>
          </cell>
          <cell r="L381">
            <v>5.5</v>
          </cell>
          <cell r="M381">
            <v>13.0826802</v>
          </cell>
          <cell r="N381">
            <v>80.270718400000007</v>
          </cell>
        </row>
        <row r="382">
          <cell r="B382" t="str">
            <v>Prasanna (Preeti)</v>
          </cell>
          <cell r="C382" t="str">
            <v>Male</v>
          </cell>
          <cell r="I382" t="str">
            <v>26/10/1978</v>
          </cell>
          <cell r="J382" t="str">
            <v>11:50:05 AM</v>
          </cell>
          <cell r="L382">
            <v>5.5</v>
          </cell>
          <cell r="M382">
            <v>13.628755699999999</v>
          </cell>
          <cell r="N382">
            <v>79.419179499999998</v>
          </cell>
        </row>
        <row r="383">
          <cell r="B383" t="str">
            <v>Prasanna Kumar</v>
          </cell>
          <cell r="C383" t="str">
            <v>Male</v>
          </cell>
          <cell r="I383" t="str">
            <v>2/3/1992</v>
          </cell>
          <cell r="J383" t="str">
            <v>04:45:00 AM</v>
          </cell>
          <cell r="L383">
            <v>5.5</v>
          </cell>
          <cell r="M383">
            <v>9.9252006999999995</v>
          </cell>
          <cell r="N383">
            <v>78.119775399999995</v>
          </cell>
        </row>
        <row r="384">
          <cell r="B384" t="str">
            <v>Prasanna Venkatesh</v>
          </cell>
          <cell r="C384" t="str">
            <v>Male</v>
          </cell>
          <cell r="I384" t="str">
            <v>2/9/1993</v>
          </cell>
          <cell r="J384" t="str">
            <v>12:51:00 AM</v>
          </cell>
          <cell r="L384">
            <v>5.5</v>
          </cell>
          <cell r="M384">
            <v>8.7641661000000006</v>
          </cell>
          <cell r="N384">
            <v>78.134836100000001</v>
          </cell>
        </row>
        <row r="385">
          <cell r="B385" t="str">
            <v>PRASHANTH RAMJI</v>
          </cell>
          <cell r="C385" t="str">
            <v>Male</v>
          </cell>
          <cell r="I385" t="str">
            <v>17/5/1992</v>
          </cell>
          <cell r="J385" t="str">
            <v>06:46:00 AM</v>
          </cell>
          <cell r="L385">
            <v>5.5</v>
          </cell>
          <cell r="M385">
            <v>9.9252006999999995</v>
          </cell>
          <cell r="N385">
            <v>78.119775399999995</v>
          </cell>
        </row>
        <row r="386">
          <cell r="B386" t="str">
            <v>Pratheesh</v>
          </cell>
          <cell r="C386" t="str">
            <v>Male</v>
          </cell>
          <cell r="I386" t="str">
            <v>9/8/1992</v>
          </cell>
          <cell r="J386" t="str">
            <v>10:40:00 AM</v>
          </cell>
          <cell r="L386">
            <v>5.5</v>
          </cell>
          <cell r="M386">
            <v>11.016844499999999</v>
          </cell>
          <cell r="N386">
            <v>76.955832099999995</v>
          </cell>
        </row>
        <row r="387">
          <cell r="B387" t="str">
            <v>Pratishtha Bajaj</v>
          </cell>
          <cell r="C387" t="str">
            <v>Male</v>
          </cell>
          <cell r="I387" t="str">
            <v>6/10/2002</v>
          </cell>
          <cell r="J387" t="str">
            <v>02:40:59 PM</v>
          </cell>
          <cell r="L387">
            <v>5.5</v>
          </cell>
          <cell r="M387">
            <v>30.339780900000001</v>
          </cell>
          <cell r="N387">
            <v>76.386879699999994</v>
          </cell>
        </row>
        <row r="388">
          <cell r="B388" t="str">
            <v>Praveen</v>
          </cell>
          <cell r="C388" t="str">
            <v>Male</v>
          </cell>
          <cell r="I388" t="str">
            <v>24/11/1995</v>
          </cell>
          <cell r="J388" t="str">
            <v>07:55:00 PM</v>
          </cell>
          <cell r="L388">
            <v>5.5</v>
          </cell>
          <cell r="M388">
            <v>13.0826802</v>
          </cell>
          <cell r="N388">
            <v>80.270718400000007</v>
          </cell>
        </row>
        <row r="389">
          <cell r="B389" t="str">
            <v>Praveen Murali</v>
          </cell>
          <cell r="C389" t="str">
            <v>Male</v>
          </cell>
          <cell r="I389" t="str">
            <v>8/5/1978</v>
          </cell>
          <cell r="J389" t="str">
            <v>07:13:00 AM</v>
          </cell>
          <cell r="L389">
            <v>5.5</v>
          </cell>
          <cell r="M389">
            <v>16.306652499999998</v>
          </cell>
          <cell r="N389">
            <v>80.436540199999996</v>
          </cell>
        </row>
        <row r="390">
          <cell r="B390" t="str">
            <v>Preeti Raman</v>
          </cell>
          <cell r="C390" t="str">
            <v>Female</v>
          </cell>
          <cell r="I390" t="str">
            <v>15/12/1984</v>
          </cell>
          <cell r="J390" t="str">
            <v>08:45:00 AM</v>
          </cell>
          <cell r="L390">
            <v>5.5</v>
          </cell>
          <cell r="M390">
            <v>12.9647462</v>
          </cell>
          <cell r="N390">
            <v>80.196083200000004</v>
          </cell>
        </row>
        <row r="391">
          <cell r="B391" t="str">
            <v>Pritheev</v>
          </cell>
          <cell r="C391" t="str">
            <v>Male</v>
          </cell>
          <cell r="I391" t="str">
            <v>10/1/1994</v>
          </cell>
          <cell r="J391" t="str">
            <v>06:05:00 AM</v>
          </cell>
          <cell r="L391">
            <v>5.5</v>
          </cell>
          <cell r="M391">
            <v>10.7904833</v>
          </cell>
          <cell r="N391">
            <v>78.704672500000001</v>
          </cell>
        </row>
        <row r="392">
          <cell r="B392" t="str">
            <v>Priya</v>
          </cell>
          <cell r="C392" t="str">
            <v>Female</v>
          </cell>
          <cell r="I392" t="str">
            <v>7/6/1994</v>
          </cell>
          <cell r="J392" t="str">
            <v>11:36:00 AM</v>
          </cell>
          <cell r="L392">
            <v>5.5</v>
          </cell>
          <cell r="M392">
            <v>13.0826802</v>
          </cell>
          <cell r="N392">
            <v>80.270718400000007</v>
          </cell>
        </row>
        <row r="393">
          <cell r="B393" t="str">
            <v>Priya</v>
          </cell>
          <cell r="C393" t="str">
            <v>Female</v>
          </cell>
          <cell r="I393" t="str">
            <v>5/11/1986</v>
          </cell>
          <cell r="J393" t="str">
            <v>04:14:30 PM</v>
          </cell>
          <cell r="L393">
            <v>5.5</v>
          </cell>
          <cell r="M393">
            <v>12.818455999999999</v>
          </cell>
          <cell r="N393">
            <v>79.694658599999997</v>
          </cell>
        </row>
        <row r="394">
          <cell r="B394" t="str">
            <v>Priya</v>
          </cell>
          <cell r="C394" t="str">
            <v>Female</v>
          </cell>
          <cell r="I394" t="str">
            <v>1/7/1997</v>
          </cell>
          <cell r="J394" t="str">
            <v>09:45:00 AM</v>
          </cell>
          <cell r="L394">
            <v>5.5</v>
          </cell>
          <cell r="M394">
            <v>12.740912700000001</v>
          </cell>
          <cell r="N394">
            <v>77.825292300000001</v>
          </cell>
        </row>
        <row r="395">
          <cell r="B395" t="str">
            <v>Priya</v>
          </cell>
          <cell r="C395" t="str">
            <v>Female</v>
          </cell>
          <cell r="I395" t="str">
            <v>27/1/1996</v>
          </cell>
          <cell r="J395" t="str">
            <v>10:38:00 PM</v>
          </cell>
          <cell r="L395">
            <v>5.5</v>
          </cell>
          <cell r="M395">
            <v>12.2252841</v>
          </cell>
          <cell r="N395">
            <v>79.074695700000007</v>
          </cell>
        </row>
        <row r="396">
          <cell r="B396" t="str">
            <v>Priyanka M</v>
          </cell>
          <cell r="C396" t="str">
            <v>Female</v>
          </cell>
          <cell r="I396" t="str">
            <v>26/12/1991</v>
          </cell>
          <cell r="J396" t="str">
            <v>12:25:00 PM</v>
          </cell>
          <cell r="L396">
            <v>5.5</v>
          </cell>
          <cell r="M396">
            <v>17.686815899999999</v>
          </cell>
          <cell r="N396">
            <v>83.218481499999996</v>
          </cell>
        </row>
        <row r="397">
          <cell r="B397" t="str">
            <v>Proposal for Shreema</v>
          </cell>
          <cell r="C397" t="str">
            <v>Male</v>
          </cell>
          <cell r="I397" t="str">
            <v>20/9/1991</v>
          </cell>
          <cell r="J397" t="str">
            <v>01:25:00 AM</v>
          </cell>
          <cell r="L397">
            <v>5.5</v>
          </cell>
          <cell r="M397">
            <v>10.073539999999999</v>
          </cell>
          <cell r="N397">
            <v>78.773197999999994</v>
          </cell>
        </row>
        <row r="398">
          <cell r="B398" t="str">
            <v>Pumsavanam</v>
          </cell>
          <cell r="C398" t="str">
            <v>Female</v>
          </cell>
          <cell r="I398" t="str">
            <v>7/4/2022</v>
          </cell>
          <cell r="J398" t="str">
            <v>09:00:00 AM</v>
          </cell>
          <cell r="L398">
            <v>-7</v>
          </cell>
          <cell r="M398">
            <v>32.715738000000002</v>
          </cell>
          <cell r="N398">
            <v>-117.1610838</v>
          </cell>
        </row>
        <row r="399">
          <cell r="B399" t="str">
            <v>Purushotam</v>
          </cell>
          <cell r="C399" t="str">
            <v>Male</v>
          </cell>
          <cell r="I399" t="str">
            <v>10/9/1991</v>
          </cell>
          <cell r="J399" t="str">
            <v>07:30:00 AM</v>
          </cell>
          <cell r="L399">
            <v>5.5</v>
          </cell>
          <cell r="M399">
            <v>10.786999399999999</v>
          </cell>
          <cell r="N399">
            <v>79.137827400000006</v>
          </cell>
        </row>
        <row r="400">
          <cell r="B400" t="str">
            <v>Pushpalatha</v>
          </cell>
          <cell r="C400" t="str">
            <v>Female</v>
          </cell>
          <cell r="I400" t="str">
            <v>9/7/1981</v>
          </cell>
          <cell r="J400" t="str">
            <v>12:29:13 AM</v>
          </cell>
          <cell r="L400">
            <v>5.5</v>
          </cell>
          <cell r="M400">
            <v>13.2957137</v>
          </cell>
          <cell r="N400">
            <v>77.536390800000007</v>
          </cell>
        </row>
        <row r="401">
          <cell r="B401" t="str">
            <v>Pushparajan</v>
          </cell>
          <cell r="C401" t="str">
            <v>Male</v>
          </cell>
          <cell r="I401" t="str">
            <v>7/4/1980</v>
          </cell>
          <cell r="J401" t="str">
            <v>10:03:40 PM</v>
          </cell>
          <cell r="L401">
            <v>5.5</v>
          </cell>
          <cell r="M401">
            <v>12.740912700000001</v>
          </cell>
          <cell r="N401">
            <v>77.825292300000001</v>
          </cell>
        </row>
        <row r="402">
          <cell r="B402" t="str">
            <v>PV Narasimha Rao</v>
          </cell>
          <cell r="C402" t="str">
            <v>Male</v>
          </cell>
          <cell r="I402" t="str">
            <v>28/6/1921</v>
          </cell>
          <cell r="J402" t="str">
            <v>12:49:00 PM</v>
          </cell>
          <cell r="L402">
            <v>5.5</v>
          </cell>
          <cell r="M402">
            <v>18.438555300000001</v>
          </cell>
          <cell r="N402">
            <v>79.128841199999997</v>
          </cell>
        </row>
        <row r="403">
          <cell r="B403" t="str">
            <v>R R Raagavi</v>
          </cell>
          <cell r="C403" t="str">
            <v>Female</v>
          </cell>
          <cell r="I403" t="str">
            <v>10/3/2012</v>
          </cell>
          <cell r="J403" t="str">
            <v>06:34:05 AM</v>
          </cell>
          <cell r="L403">
            <v>5.5</v>
          </cell>
          <cell r="M403">
            <v>12.9675069</v>
          </cell>
          <cell r="N403">
            <v>80.149095500000001</v>
          </cell>
        </row>
        <row r="404">
          <cell r="B404" t="str">
            <v>R.KRISHNAN</v>
          </cell>
          <cell r="C404" t="str">
            <v>Male</v>
          </cell>
          <cell r="I404" t="str">
            <v>12/8/1984</v>
          </cell>
          <cell r="J404" t="str">
            <v>07:02:46 PM</v>
          </cell>
          <cell r="L404">
            <v>5.5</v>
          </cell>
          <cell r="M404">
            <v>13.0826802</v>
          </cell>
          <cell r="N404">
            <v>80.270718400000007</v>
          </cell>
        </row>
        <row r="405">
          <cell r="B405" t="str">
            <v>Radharani</v>
          </cell>
          <cell r="C405" t="str">
            <v>Female</v>
          </cell>
          <cell r="I405" t="str">
            <v>11/11/1970</v>
          </cell>
          <cell r="J405" t="str">
            <v>05:00:30 AM</v>
          </cell>
          <cell r="L405">
            <v>5.5</v>
          </cell>
          <cell r="M405">
            <v>16.710660399999998</v>
          </cell>
          <cell r="N405">
            <v>81.095243100000005</v>
          </cell>
        </row>
        <row r="406">
          <cell r="B406" t="str">
            <v>Radhika Gopalakrishnan</v>
          </cell>
          <cell r="C406" t="str">
            <v>Female</v>
          </cell>
          <cell r="I406" t="str">
            <v>26/9/1992</v>
          </cell>
          <cell r="J406" t="str">
            <v>09:42:00 PM</v>
          </cell>
          <cell r="L406">
            <v>5.5</v>
          </cell>
          <cell r="M406">
            <v>13.0826802</v>
          </cell>
          <cell r="N406">
            <v>80.270718400000007</v>
          </cell>
        </row>
        <row r="407">
          <cell r="B407" t="str">
            <v>RADHIKA VENKATARAMAN</v>
          </cell>
          <cell r="C407" t="str">
            <v>Female</v>
          </cell>
          <cell r="I407" t="str">
            <v>23/7/1984</v>
          </cell>
          <cell r="J407" t="str">
            <v>09:52:00 PM</v>
          </cell>
          <cell r="L407">
            <v>5.5</v>
          </cell>
          <cell r="M407">
            <v>10.7904833</v>
          </cell>
          <cell r="N407">
            <v>78.704672500000001</v>
          </cell>
        </row>
        <row r="408">
          <cell r="B408" t="str">
            <v>Rabindranath Tagore</v>
          </cell>
          <cell r="C408" t="str">
            <v>Male</v>
          </cell>
          <cell r="I408" t="str">
            <v>7/5/1861</v>
          </cell>
          <cell r="J408" t="str">
            <v>02:27:19 AM</v>
          </cell>
          <cell r="L408">
            <v>5.5</v>
          </cell>
          <cell r="M408">
            <v>22.572645999999999</v>
          </cell>
          <cell r="N408">
            <v>88.363894999999999</v>
          </cell>
        </row>
        <row r="409">
          <cell r="B409" t="str">
            <v>Ragavendran</v>
          </cell>
          <cell r="C409" t="str">
            <v>Male</v>
          </cell>
          <cell r="I409" t="str">
            <v>18/2/1987</v>
          </cell>
          <cell r="J409" t="str">
            <v>10:35:00 AM</v>
          </cell>
          <cell r="L409">
            <v>5.5</v>
          </cell>
          <cell r="M409">
            <v>11.664325</v>
          </cell>
          <cell r="N409">
            <v>78.146014199999996</v>
          </cell>
        </row>
        <row r="410">
          <cell r="B410" t="str">
            <v>Raghavi</v>
          </cell>
          <cell r="C410" t="str">
            <v>Female</v>
          </cell>
          <cell r="I410" t="str">
            <v>31/10/1996</v>
          </cell>
          <cell r="J410" t="str">
            <v>06:29:00 AM</v>
          </cell>
          <cell r="L410">
            <v>5.5</v>
          </cell>
          <cell r="M410">
            <v>10.943110799999999</v>
          </cell>
          <cell r="N410">
            <v>78.910436000000004</v>
          </cell>
        </row>
        <row r="411">
          <cell r="B411" t="str">
            <v>Raghavi R</v>
          </cell>
          <cell r="C411" t="str">
            <v>Female</v>
          </cell>
          <cell r="I411" t="str">
            <v>17/12/1995</v>
          </cell>
          <cell r="J411" t="str">
            <v>10:07:00 AM</v>
          </cell>
          <cell r="L411">
            <v>5.5</v>
          </cell>
          <cell r="M411">
            <v>11.941591499999999</v>
          </cell>
          <cell r="N411">
            <v>79.808313299999995</v>
          </cell>
        </row>
        <row r="412">
          <cell r="B412" t="str">
            <v>Raghu (Vani)</v>
          </cell>
          <cell r="C412" t="str">
            <v>Male</v>
          </cell>
          <cell r="I412" t="str">
            <v>6/8/1969</v>
          </cell>
          <cell r="J412" t="str">
            <v>12:33:00 PM</v>
          </cell>
          <cell r="L412">
            <v>5.5</v>
          </cell>
          <cell r="M412">
            <v>12.740912700000001</v>
          </cell>
          <cell r="N412">
            <v>77.825292300000001</v>
          </cell>
        </row>
        <row r="413">
          <cell r="B413" t="str">
            <v>Ragul Sankaranarayanan</v>
          </cell>
          <cell r="C413" t="str">
            <v>Male</v>
          </cell>
          <cell r="I413" t="str">
            <v>19/9/1992</v>
          </cell>
          <cell r="J413" t="str">
            <v>03:48:00 PM</v>
          </cell>
          <cell r="L413">
            <v>5.5</v>
          </cell>
          <cell r="M413">
            <v>8.7139126000000005</v>
          </cell>
          <cell r="N413">
            <v>77.756652299999999</v>
          </cell>
        </row>
        <row r="414">
          <cell r="B414" t="str">
            <v>Rahul Bhooma</v>
          </cell>
          <cell r="C414" t="str">
            <v>Male</v>
          </cell>
          <cell r="I414" t="str">
            <v>26/3/1992</v>
          </cell>
          <cell r="J414" t="str">
            <v>08:12:00 AM</v>
          </cell>
          <cell r="L414">
            <v>5.5</v>
          </cell>
          <cell r="M414">
            <v>13.0826802</v>
          </cell>
          <cell r="N414">
            <v>80.270718400000007</v>
          </cell>
        </row>
        <row r="415">
          <cell r="B415" t="str">
            <v>Rahul Gandhi</v>
          </cell>
          <cell r="C415" t="str">
            <v>Male</v>
          </cell>
          <cell r="I415" t="str">
            <v>19/6/1970</v>
          </cell>
          <cell r="J415" t="str">
            <v>02:28:00 PM</v>
          </cell>
          <cell r="L415">
            <v>5.5</v>
          </cell>
          <cell r="M415">
            <v>28.562551800000001</v>
          </cell>
          <cell r="N415">
            <v>77.291372899999999</v>
          </cell>
        </row>
        <row r="416">
          <cell r="B416" t="str">
            <v>Raja</v>
          </cell>
          <cell r="C416" t="str">
            <v>Male</v>
          </cell>
          <cell r="I416" t="str">
            <v>24/7/1985</v>
          </cell>
          <cell r="J416" t="str">
            <v>12:55:00 PM</v>
          </cell>
          <cell r="L416">
            <v>5.5</v>
          </cell>
          <cell r="M416">
            <v>10.4232271</v>
          </cell>
          <cell r="N416">
            <v>79.319998499999997</v>
          </cell>
        </row>
        <row r="417">
          <cell r="B417" t="str">
            <v>Rajamani alias Sabari</v>
          </cell>
          <cell r="C417" t="str">
            <v>Male</v>
          </cell>
          <cell r="I417" t="str">
            <v>6/1/1990</v>
          </cell>
          <cell r="J417" t="str">
            <v>07:21:07 AM</v>
          </cell>
          <cell r="L417">
            <v>5.5</v>
          </cell>
          <cell r="M417">
            <v>10.9601852</v>
          </cell>
          <cell r="N417">
            <v>79.384497600000003</v>
          </cell>
        </row>
        <row r="418">
          <cell r="B418" t="str">
            <v>Rajamathangi</v>
          </cell>
          <cell r="C418" t="str">
            <v>Female</v>
          </cell>
          <cell r="I418" t="str">
            <v>26/9/1998</v>
          </cell>
          <cell r="J418" t="str">
            <v>05:08:00 PM</v>
          </cell>
          <cell r="L418">
            <v>5.5</v>
          </cell>
          <cell r="M418">
            <v>13.0826802</v>
          </cell>
          <cell r="N418">
            <v>80.270718400000007</v>
          </cell>
        </row>
        <row r="419">
          <cell r="B419" t="str">
            <v>Rajammal()</v>
          </cell>
          <cell r="C419" t="str">
            <v>Female</v>
          </cell>
          <cell r="I419" t="str">
            <v>5/2/1961</v>
          </cell>
          <cell r="J419" t="str">
            <v>02:44:50 AM</v>
          </cell>
          <cell r="L419">
            <v>5.5</v>
          </cell>
          <cell r="M419">
            <v>10.995576700000001</v>
          </cell>
          <cell r="N419">
            <v>77.285209699999996</v>
          </cell>
        </row>
        <row r="420">
          <cell r="B420" t="str">
            <v>Rajarajan_ChildDeath</v>
          </cell>
          <cell r="C420" t="str">
            <v>Female</v>
          </cell>
          <cell r="I420" t="str">
            <v>24/7/2020</v>
          </cell>
          <cell r="J420" t="str">
            <v>04:09:18 PM</v>
          </cell>
          <cell r="L420">
            <v>5.5</v>
          </cell>
          <cell r="M420">
            <v>11.664325</v>
          </cell>
          <cell r="N420">
            <v>78.146014199999996</v>
          </cell>
        </row>
        <row r="421">
          <cell r="B421" t="str">
            <v>Rajaram</v>
          </cell>
          <cell r="C421" t="str">
            <v>Male</v>
          </cell>
          <cell r="I421" t="str">
            <v>18/7/1997</v>
          </cell>
          <cell r="J421" t="str">
            <v>04:45:00 PM</v>
          </cell>
          <cell r="L421">
            <v>5.5</v>
          </cell>
          <cell r="M421">
            <v>13.0826802</v>
          </cell>
          <cell r="N421">
            <v>80.270718400000007</v>
          </cell>
        </row>
        <row r="422">
          <cell r="B422" t="str">
            <v>Rajasubha</v>
          </cell>
          <cell r="C422" t="str">
            <v>Female</v>
          </cell>
          <cell r="I422" t="str">
            <v>1/11/1992</v>
          </cell>
          <cell r="J422" t="str">
            <v>03:01:45 PM</v>
          </cell>
          <cell r="L422">
            <v>5.5</v>
          </cell>
          <cell r="M422">
            <v>10.8798545</v>
          </cell>
          <cell r="N422">
            <v>79.106041000000005</v>
          </cell>
        </row>
        <row r="423">
          <cell r="B423" t="str">
            <v>RAJASUBHA</v>
          </cell>
          <cell r="C423" t="str">
            <v>Female</v>
          </cell>
          <cell r="I423" t="str">
            <v>1/11/1992</v>
          </cell>
          <cell r="J423" t="str">
            <v>03:13:40 PM</v>
          </cell>
          <cell r="L423">
            <v>5.5</v>
          </cell>
          <cell r="M423">
            <v>10.874404999999999</v>
          </cell>
          <cell r="N423">
            <v>78.818443200000004</v>
          </cell>
        </row>
        <row r="424">
          <cell r="B424" t="str">
            <v>Rajeena</v>
          </cell>
          <cell r="C424" t="str">
            <v>Female</v>
          </cell>
          <cell r="I424" t="str">
            <v>3/9/1984</v>
          </cell>
          <cell r="J424" t="str">
            <v>06:16:15 AM</v>
          </cell>
          <cell r="L424">
            <v>5.5</v>
          </cell>
          <cell r="M424">
            <v>10.4232271</v>
          </cell>
          <cell r="N424">
            <v>79.319998499999997</v>
          </cell>
        </row>
        <row r="425">
          <cell r="B425" t="str">
            <v>Rajendran</v>
          </cell>
          <cell r="C425" t="str">
            <v>Male</v>
          </cell>
          <cell r="I425" t="str">
            <v>2/4/1954</v>
          </cell>
          <cell r="J425" t="str">
            <v>04:25:00 PM</v>
          </cell>
          <cell r="L425">
            <v>5.5</v>
          </cell>
          <cell r="M425">
            <v>11.832660000000001</v>
          </cell>
          <cell r="N425">
            <v>77.942453099999994</v>
          </cell>
        </row>
        <row r="426">
          <cell r="B426" t="str">
            <v>Rajendra Prasad Dr</v>
          </cell>
          <cell r="C426" t="str">
            <v>Male</v>
          </cell>
          <cell r="I426" t="str">
            <v>3/12/1884</v>
          </cell>
          <cell r="J426">
            <v>0.36458333333333331</v>
          </cell>
          <cell r="L426">
            <v>5.6163888888888884</v>
          </cell>
          <cell r="M426">
            <v>26.236111111111111</v>
          </cell>
          <cell r="N426">
            <v>84.248055555555553</v>
          </cell>
        </row>
        <row r="427">
          <cell r="B427" t="str">
            <v>Rajesh Ramachander</v>
          </cell>
          <cell r="C427" t="str">
            <v>Male</v>
          </cell>
          <cell r="I427" t="str">
            <v>27/11/1970</v>
          </cell>
          <cell r="J427" t="str">
            <v>06:25:00 AM</v>
          </cell>
          <cell r="L427">
            <v>5.5</v>
          </cell>
          <cell r="M427">
            <v>13.053958700000001</v>
          </cell>
          <cell r="N427">
            <v>80.264071099999995</v>
          </cell>
        </row>
        <row r="428">
          <cell r="B428" t="str">
            <v>Rajeswari Narasimhan</v>
          </cell>
          <cell r="C428" t="str">
            <v>Male</v>
          </cell>
          <cell r="I428" t="str">
            <v>10/1/1951</v>
          </cell>
          <cell r="J428" t="str">
            <v>09:34:55 PM</v>
          </cell>
          <cell r="L428">
            <v>5.5</v>
          </cell>
          <cell r="M428">
            <v>12.5265661</v>
          </cell>
          <cell r="N428">
            <v>78.214957499999997</v>
          </cell>
        </row>
        <row r="429">
          <cell r="B429" t="str">
            <v>Rajeswari R</v>
          </cell>
          <cell r="C429" t="str">
            <v>Female</v>
          </cell>
          <cell r="I429" t="str">
            <v>17/5/1979</v>
          </cell>
          <cell r="J429" t="str">
            <v>03:10:00 PM</v>
          </cell>
          <cell r="L429">
            <v>5.5</v>
          </cell>
          <cell r="M429">
            <v>11.016844499999999</v>
          </cell>
          <cell r="N429">
            <v>76.955832099999995</v>
          </cell>
        </row>
        <row r="430">
          <cell r="B430" t="str">
            <v>Raji Sundaram</v>
          </cell>
          <cell r="C430" t="str">
            <v>Female</v>
          </cell>
          <cell r="I430" t="str">
            <v>24/1/1963</v>
          </cell>
          <cell r="J430" t="str">
            <v>02:40:00 PM</v>
          </cell>
          <cell r="L430">
            <v>5.5</v>
          </cell>
          <cell r="M430">
            <v>11.050976199999999</v>
          </cell>
          <cell r="N430">
            <v>76.071096699999998</v>
          </cell>
        </row>
        <row r="431">
          <cell r="B431" t="str">
            <v>Rajkumar(P)</v>
          </cell>
          <cell r="C431" t="str">
            <v>Male</v>
          </cell>
          <cell r="I431" t="str">
            <v>24/6/1988</v>
          </cell>
          <cell r="J431" t="str">
            <v>02:20:52 PM</v>
          </cell>
          <cell r="L431">
            <v>5.5</v>
          </cell>
          <cell r="M431">
            <v>11.3410364</v>
          </cell>
          <cell r="N431">
            <v>77.717164199999999</v>
          </cell>
        </row>
        <row r="432">
          <cell r="B432" t="str">
            <v>Rajneesh Bhagwan Shree</v>
          </cell>
          <cell r="C432" t="str">
            <v>Male</v>
          </cell>
          <cell r="I432" t="str">
            <v>11/12/1931</v>
          </cell>
          <cell r="J432" t="str">
            <v>05:13:00 PM</v>
          </cell>
          <cell r="L432">
            <v>5.5</v>
          </cell>
          <cell r="M432">
            <v>23.145085900000002</v>
          </cell>
          <cell r="N432">
            <v>78.355777500000002</v>
          </cell>
        </row>
        <row r="433">
          <cell r="B433" t="str">
            <v>RAJNIKANTH</v>
          </cell>
          <cell r="C433" t="str">
            <v>Male</v>
          </cell>
          <cell r="I433" t="str">
            <v>7/9/1967</v>
          </cell>
          <cell r="J433" t="str">
            <v>06:37:01 AM</v>
          </cell>
          <cell r="L433">
            <v>5.5</v>
          </cell>
          <cell r="M433">
            <v>11.655724899999999</v>
          </cell>
          <cell r="N433">
            <v>78.162515799999994</v>
          </cell>
        </row>
        <row r="434">
          <cell r="B434" t="str">
            <v>RAJNIKANTH</v>
          </cell>
          <cell r="C434" t="str">
            <v>Male</v>
          </cell>
          <cell r="I434" t="str">
            <v>12/12/1950</v>
          </cell>
          <cell r="J434" t="str">
            <v>11:44:10 PM</v>
          </cell>
          <cell r="L434">
            <v>5.5</v>
          </cell>
          <cell r="M434">
            <v>12.971598699999999</v>
          </cell>
          <cell r="N434">
            <v>77.594562699999997</v>
          </cell>
        </row>
        <row r="435">
          <cell r="B435" t="str">
            <v>RAJRAN(2nd)</v>
          </cell>
          <cell r="C435" t="str">
            <v>Male</v>
          </cell>
          <cell r="I435" t="str">
            <v>2/9/1983</v>
          </cell>
          <cell r="J435" t="str">
            <v>11:46:11 PM</v>
          </cell>
          <cell r="L435">
            <v>5.5</v>
          </cell>
          <cell r="M435">
            <v>9.7347237999999994</v>
          </cell>
          <cell r="N435">
            <v>77.284367799999998</v>
          </cell>
        </row>
        <row r="436">
          <cell r="B436" t="str">
            <v>Rakesh Sharma</v>
          </cell>
          <cell r="C436" t="str">
            <v>Male</v>
          </cell>
          <cell r="I436" t="str">
            <v>20/2/1995</v>
          </cell>
          <cell r="J436" t="str">
            <v>08:30:00 PM</v>
          </cell>
          <cell r="L436">
            <v>5.5</v>
          </cell>
          <cell r="M436">
            <v>12.740912700000001</v>
          </cell>
          <cell r="N436">
            <v>77.825292300000001</v>
          </cell>
        </row>
        <row r="437">
          <cell r="B437" t="str">
            <v>Ramakrishna Paramahamsa</v>
          </cell>
          <cell r="C437" t="str">
            <v>Male</v>
          </cell>
          <cell r="I437" t="str">
            <v>18/2/1836</v>
          </cell>
          <cell r="J437">
            <v>0.25208333333333333</v>
          </cell>
          <cell r="L437">
            <v>5.5</v>
          </cell>
          <cell r="M437">
            <v>22.883333333333333</v>
          </cell>
          <cell r="N437">
            <v>87.733333333333334</v>
          </cell>
        </row>
        <row r="438">
          <cell r="B438" t="str">
            <v>Ramakrishnan G</v>
          </cell>
          <cell r="C438" t="str">
            <v>Male</v>
          </cell>
          <cell r="I438" t="str">
            <v>14/12/1978</v>
          </cell>
          <cell r="J438" t="str">
            <v>04:26:00 PM</v>
          </cell>
          <cell r="L438">
            <v>5.5</v>
          </cell>
          <cell r="M438">
            <v>13.0521019</v>
          </cell>
          <cell r="N438">
            <v>80.225528600000004</v>
          </cell>
        </row>
        <row r="439">
          <cell r="B439" t="str">
            <v>Ramamani</v>
          </cell>
          <cell r="C439" t="str">
            <v>Female</v>
          </cell>
          <cell r="I439" t="str">
            <v>18/3/1976</v>
          </cell>
          <cell r="J439" t="str">
            <v>01:30:00 PM</v>
          </cell>
          <cell r="L439">
            <v>5.5</v>
          </cell>
          <cell r="M439">
            <v>12.971598699999999</v>
          </cell>
          <cell r="N439">
            <v>77.594562699999997</v>
          </cell>
        </row>
        <row r="440">
          <cell r="B440" t="str">
            <v>Ramamurthy</v>
          </cell>
          <cell r="C440" t="str">
            <v>Male</v>
          </cell>
          <cell r="I440" t="str">
            <v>21/6/1955</v>
          </cell>
          <cell r="J440" t="str">
            <v>08:30:00 PM</v>
          </cell>
          <cell r="L440">
            <v>5.5</v>
          </cell>
          <cell r="M440">
            <v>12.740912700000001</v>
          </cell>
          <cell r="N440">
            <v>77.825292300000001</v>
          </cell>
        </row>
        <row r="441">
          <cell r="B441" t="str">
            <v>Raman</v>
          </cell>
          <cell r="C441" t="str">
            <v>Male</v>
          </cell>
          <cell r="I441" t="str">
            <v>7/10/1962</v>
          </cell>
          <cell r="J441" t="str">
            <v>11:03:55 AM</v>
          </cell>
          <cell r="L441">
            <v>5.5</v>
          </cell>
          <cell r="M441">
            <v>12.5089244</v>
          </cell>
          <cell r="N441">
            <v>79.884735500000005</v>
          </cell>
        </row>
        <row r="442">
          <cell r="B442" t="str">
            <v>Raman BV</v>
          </cell>
          <cell r="C442" t="str">
            <v>Male</v>
          </cell>
          <cell r="I442" t="str">
            <v>8/8/1912</v>
          </cell>
          <cell r="J442" t="str">
            <v>07:30:00 PM</v>
          </cell>
          <cell r="L442">
            <v>5.5</v>
          </cell>
          <cell r="M442">
            <v>12.971598699999999</v>
          </cell>
          <cell r="N442">
            <v>77.594562699999997</v>
          </cell>
        </row>
        <row r="443">
          <cell r="B443" t="str">
            <v>Ramanathan</v>
          </cell>
          <cell r="C443" t="str">
            <v>Male</v>
          </cell>
          <cell r="I443" t="str">
            <v>15/7/1989</v>
          </cell>
          <cell r="J443" t="str">
            <v>03:07:40 PM</v>
          </cell>
          <cell r="L443">
            <v>5.5</v>
          </cell>
          <cell r="M443">
            <v>13.0826802</v>
          </cell>
          <cell r="N443">
            <v>80.270718400000007</v>
          </cell>
        </row>
        <row r="444">
          <cell r="B444" t="str">
            <v>Ramani</v>
          </cell>
          <cell r="C444" t="str">
            <v>Female</v>
          </cell>
          <cell r="I444" t="str">
            <v>3/6/1961</v>
          </cell>
          <cell r="J444">
            <v>0.58333333333333337</v>
          </cell>
          <cell r="L444">
            <v>5.5</v>
          </cell>
          <cell r="M444">
            <v>16.5062</v>
          </cell>
          <cell r="N444">
            <v>80.647999999999996</v>
          </cell>
        </row>
        <row r="445">
          <cell r="B445" t="str">
            <v>Ramesh</v>
          </cell>
          <cell r="C445" t="str">
            <v>Male</v>
          </cell>
          <cell r="I445" t="str">
            <v>30/3/1997</v>
          </cell>
          <cell r="J445" t="str">
            <v>05:30:00 AM</v>
          </cell>
          <cell r="L445">
            <v>5.5</v>
          </cell>
          <cell r="M445">
            <v>12.740912700000001</v>
          </cell>
          <cell r="N445">
            <v>77.825292300000001</v>
          </cell>
        </row>
        <row r="446">
          <cell r="B446" t="str">
            <v>Ramesh Krishnan</v>
          </cell>
          <cell r="C446" t="str">
            <v>Male</v>
          </cell>
          <cell r="I446" t="str">
            <v>21/2/1991</v>
          </cell>
          <cell r="J446" t="str">
            <v>08:15:00 AM</v>
          </cell>
          <cell r="L446">
            <v>5.5</v>
          </cell>
          <cell r="M446">
            <v>11.664325</v>
          </cell>
          <cell r="N446">
            <v>78.146014199999996</v>
          </cell>
        </row>
        <row r="447">
          <cell r="B447" t="str">
            <v>Ramesh.KR</v>
          </cell>
          <cell r="C447" t="str">
            <v>Male</v>
          </cell>
          <cell r="I447" t="str">
            <v>26/5/1966</v>
          </cell>
          <cell r="J447">
            <v>8.3333333333333329E-2</v>
          </cell>
          <cell r="L447">
            <v>5.5</v>
          </cell>
          <cell r="M447">
            <v>10.45</v>
          </cell>
          <cell r="N447">
            <v>77.55</v>
          </cell>
        </row>
        <row r="448">
          <cell r="B448" t="str">
            <v>RAMESH M</v>
          </cell>
          <cell r="C448" t="str">
            <v>Male</v>
          </cell>
          <cell r="I448" t="str">
            <v>1/11/1990</v>
          </cell>
          <cell r="J448" t="str">
            <v>01:30:00 PM</v>
          </cell>
          <cell r="L448">
            <v>5.5</v>
          </cell>
          <cell r="M448">
            <v>13.0826802</v>
          </cell>
          <cell r="N448">
            <v>80.270718400000007</v>
          </cell>
        </row>
        <row r="449">
          <cell r="B449" t="str">
            <v>Ramya</v>
          </cell>
          <cell r="C449" t="str">
            <v>Female</v>
          </cell>
          <cell r="I449" t="str">
            <v>26/10/1988</v>
          </cell>
          <cell r="J449" t="str">
            <v>06:29:00 AM</v>
          </cell>
          <cell r="L449">
            <v>5.5</v>
          </cell>
          <cell r="M449">
            <v>12.9675069</v>
          </cell>
          <cell r="N449">
            <v>80.149095500000001</v>
          </cell>
        </row>
        <row r="450">
          <cell r="B450" t="str">
            <v>Ramya()</v>
          </cell>
          <cell r="C450" t="str">
            <v>Female</v>
          </cell>
          <cell r="I450" t="str">
            <v>19/8/1989</v>
          </cell>
          <cell r="J450" t="str">
            <v>01:45:32 PM</v>
          </cell>
          <cell r="L450">
            <v>5.5</v>
          </cell>
          <cell r="M450">
            <v>10.527641600000001</v>
          </cell>
          <cell r="N450">
            <v>76.214434900000001</v>
          </cell>
        </row>
        <row r="451">
          <cell r="B451" t="str">
            <v>Ranga Rao</v>
          </cell>
          <cell r="C451" t="str">
            <v>Male</v>
          </cell>
          <cell r="I451" t="str">
            <v>11/5/1936</v>
          </cell>
          <cell r="J451">
            <v>0.38194444444444442</v>
          </cell>
          <cell r="L451">
            <v>5.5</v>
          </cell>
          <cell r="M451">
            <v>15.466666666666667</v>
          </cell>
          <cell r="N451">
            <v>75.016666666666666</v>
          </cell>
        </row>
        <row r="452">
          <cell r="B452" t="str">
            <v>Ranganarayana</v>
          </cell>
          <cell r="C452" t="str">
            <v>Male</v>
          </cell>
          <cell r="I452" t="str">
            <v>31/10/1955</v>
          </cell>
          <cell r="J452" t="str">
            <v>03:11:01 AM</v>
          </cell>
          <cell r="L452">
            <v>5.5</v>
          </cell>
          <cell r="M452">
            <v>14.4425987</v>
          </cell>
          <cell r="N452">
            <v>79.986456000000004</v>
          </cell>
        </row>
        <row r="453">
          <cell r="B453" t="str">
            <v>Ranjith</v>
          </cell>
          <cell r="C453" t="str">
            <v>Male</v>
          </cell>
          <cell r="I453" t="str">
            <v>26/8/1979</v>
          </cell>
          <cell r="J453" t="str">
            <v>11:51:00 PM</v>
          </cell>
          <cell r="L453">
            <v>5.5</v>
          </cell>
          <cell r="M453">
            <v>11.016844499999999</v>
          </cell>
          <cell r="N453">
            <v>76.955832099999995</v>
          </cell>
        </row>
        <row r="454">
          <cell r="B454" t="str">
            <v>Ranjitha</v>
          </cell>
          <cell r="C454" t="str">
            <v>Female</v>
          </cell>
          <cell r="I454" t="str">
            <v>30/1/1997</v>
          </cell>
          <cell r="J454" t="str">
            <v>04:35:10 PM</v>
          </cell>
          <cell r="L454">
            <v>5.5</v>
          </cell>
          <cell r="M454">
            <v>12.7090575</v>
          </cell>
          <cell r="N454">
            <v>77.699226499999995</v>
          </cell>
        </row>
        <row r="455">
          <cell r="B455" t="str">
            <v>Rathika L</v>
          </cell>
          <cell r="C455" t="str">
            <v>Female</v>
          </cell>
          <cell r="I455" t="str">
            <v>30/4/1979</v>
          </cell>
          <cell r="J455" t="str">
            <v>07:33:02 PM</v>
          </cell>
          <cell r="L455">
            <v>5.5</v>
          </cell>
          <cell r="M455">
            <v>11.3410364</v>
          </cell>
          <cell r="N455">
            <v>77.717164199999999</v>
          </cell>
        </row>
        <row r="456">
          <cell r="B456" t="str">
            <v>Rathna Mahesh</v>
          </cell>
          <cell r="C456" t="str">
            <v>Female</v>
          </cell>
          <cell r="I456" t="str">
            <v>18/7/1998</v>
          </cell>
          <cell r="J456" t="str">
            <v>05:50:03 PM</v>
          </cell>
          <cell r="L456">
            <v>5.5</v>
          </cell>
          <cell r="M456">
            <v>11.016844499999999</v>
          </cell>
          <cell r="N456">
            <v>76.955832099999995</v>
          </cell>
        </row>
        <row r="457">
          <cell r="B457" t="str">
            <v>Ratiwant Mallik</v>
          </cell>
          <cell r="C457" t="str">
            <v>Male</v>
          </cell>
          <cell r="I457" t="str">
            <v>28/2/1960</v>
          </cell>
          <cell r="J457" t="str">
            <v>11:28:35 PM</v>
          </cell>
          <cell r="L457">
            <v>5.5</v>
          </cell>
          <cell r="M457">
            <v>26.154204499999999</v>
          </cell>
          <cell r="N457">
            <v>85.891845399999994</v>
          </cell>
        </row>
        <row r="458">
          <cell r="B458" t="str">
            <v>Ravikumar</v>
          </cell>
          <cell r="C458" t="str">
            <v>Male</v>
          </cell>
          <cell r="I458" t="str">
            <v>13/3/1990</v>
          </cell>
          <cell r="J458" t="str">
            <v>06:14:00 AM</v>
          </cell>
          <cell r="L458">
            <v>5.5</v>
          </cell>
          <cell r="M458">
            <v>10.767231300000001</v>
          </cell>
          <cell r="N458">
            <v>79.844851199999994</v>
          </cell>
        </row>
        <row r="459">
          <cell r="B459" t="str">
            <v>Raviteja</v>
          </cell>
          <cell r="C459" t="str">
            <v>Female</v>
          </cell>
          <cell r="I459" t="str">
            <v>3/4/1997</v>
          </cell>
          <cell r="J459" t="str">
            <v>01:37:00 PM</v>
          </cell>
          <cell r="L459">
            <v>5.5</v>
          </cell>
          <cell r="M459">
            <v>16.710660399999998</v>
          </cell>
          <cell r="N459">
            <v>81.095243100000005</v>
          </cell>
        </row>
        <row r="460">
          <cell r="B460" t="str">
            <v>Reka</v>
          </cell>
          <cell r="C460" t="str">
            <v>Female</v>
          </cell>
          <cell r="I460" t="str">
            <v>7/4/1987</v>
          </cell>
          <cell r="J460" t="str">
            <v>01:59:42 AM</v>
          </cell>
          <cell r="L460">
            <v>5.5</v>
          </cell>
          <cell r="M460">
            <v>11.3410364</v>
          </cell>
          <cell r="N460">
            <v>77.717164199999999</v>
          </cell>
        </row>
        <row r="461">
          <cell r="B461" t="str">
            <v>Reshma</v>
          </cell>
          <cell r="C461" t="str">
            <v>Female</v>
          </cell>
          <cell r="I461" t="str">
            <v>4/12/1988</v>
          </cell>
          <cell r="J461" t="str">
            <v>12:19:00 PM</v>
          </cell>
          <cell r="L461">
            <v>5.5</v>
          </cell>
          <cell r="M461">
            <v>10.4145968</v>
          </cell>
          <cell r="N461">
            <v>76.363728499999993</v>
          </cell>
        </row>
        <row r="462">
          <cell r="B462" t="str">
            <v>Roopa</v>
          </cell>
          <cell r="C462" t="str">
            <v>Female</v>
          </cell>
          <cell r="I462" t="str">
            <v>1/6/1993</v>
          </cell>
          <cell r="J462" t="str">
            <v>11:15:10 AM</v>
          </cell>
          <cell r="L462">
            <v>5.5</v>
          </cell>
          <cell r="M462">
            <v>12.740912700000001</v>
          </cell>
          <cell r="N462">
            <v>77.825292300000001</v>
          </cell>
        </row>
        <row r="463">
          <cell r="B463" t="str">
            <v>Ruthramoorthy</v>
          </cell>
          <cell r="C463" t="str">
            <v>Male</v>
          </cell>
          <cell r="I463" t="str">
            <v>11/2/1996</v>
          </cell>
          <cell r="J463" t="str">
            <v>02:20:00 PM</v>
          </cell>
          <cell r="L463">
            <v>5.5</v>
          </cell>
          <cell r="M463">
            <v>10.7369152</v>
          </cell>
          <cell r="N463">
            <v>77.525769299999993</v>
          </cell>
        </row>
        <row r="464">
          <cell r="B464" t="str">
            <v>S. Ashok</v>
          </cell>
          <cell r="C464" t="str">
            <v>Male</v>
          </cell>
          <cell r="I464" t="str">
            <v>23/4/1964</v>
          </cell>
          <cell r="J464" t="str">
            <v>09:32:15 AM</v>
          </cell>
          <cell r="L464">
            <v>5.5</v>
          </cell>
          <cell r="M464">
            <v>13.0826802</v>
          </cell>
          <cell r="N464">
            <v>80.270718400000007</v>
          </cell>
        </row>
        <row r="465">
          <cell r="B465" t="str">
            <v>Druvan s/o Janani Shankar</v>
          </cell>
          <cell r="C465" t="str">
            <v>Male</v>
          </cell>
          <cell r="I465" t="str">
            <v>18/4/2022</v>
          </cell>
          <cell r="J465" t="str">
            <v>09:30:00 AM</v>
          </cell>
          <cell r="L465">
            <v>5.5</v>
          </cell>
          <cell r="M465">
            <v>12.919051899999999</v>
          </cell>
          <cell r="N465">
            <v>80.2300343</v>
          </cell>
        </row>
        <row r="466">
          <cell r="B466" t="str">
            <v>SAAC Example-3</v>
          </cell>
          <cell r="C466" t="str">
            <v>Male</v>
          </cell>
          <cell r="I466" t="str">
            <v>7/3/1964</v>
          </cell>
          <cell r="J466" t="str">
            <v>06:48:00 PM</v>
          </cell>
          <cell r="L466">
            <v>5.5</v>
          </cell>
          <cell r="M466">
            <v>12.9427995</v>
          </cell>
          <cell r="N466">
            <v>78.868161400000005</v>
          </cell>
        </row>
        <row r="467">
          <cell r="B467" t="str">
            <v>Saac_Childless2</v>
          </cell>
          <cell r="C467" t="str">
            <v>Female</v>
          </cell>
          <cell r="I467" t="str">
            <v>10/6/1971</v>
          </cell>
          <cell r="J467" t="str">
            <v>06:00:00 PM</v>
          </cell>
          <cell r="L467">
            <v>5.5</v>
          </cell>
          <cell r="M467">
            <v>12.5265661</v>
          </cell>
          <cell r="N467">
            <v>78.214957499999997</v>
          </cell>
        </row>
        <row r="468">
          <cell r="B468" t="str">
            <v>SAAC_Ex_Childless</v>
          </cell>
          <cell r="C468" t="str">
            <v>Female</v>
          </cell>
          <cell r="I468" t="str">
            <v>21/4/1987</v>
          </cell>
          <cell r="J468" t="str">
            <v>09:54:55 PM</v>
          </cell>
          <cell r="L468">
            <v>5.5</v>
          </cell>
          <cell r="M468">
            <v>11.5389807</v>
          </cell>
          <cell r="N468">
            <v>79.479386099999999</v>
          </cell>
        </row>
        <row r="469">
          <cell r="B469" t="str">
            <v>SAAC-FIBROID UTERUS</v>
          </cell>
          <cell r="C469" t="str">
            <v>Female</v>
          </cell>
          <cell r="I469" t="str">
            <v>21/6/1985</v>
          </cell>
          <cell r="J469" t="str">
            <v>04:05:55 PM</v>
          </cell>
          <cell r="L469">
            <v>5.5</v>
          </cell>
          <cell r="M469">
            <v>11.941591499999999</v>
          </cell>
          <cell r="N469">
            <v>79.808313299999995</v>
          </cell>
        </row>
        <row r="470">
          <cell r="B470" t="str">
            <v>Sadasivam</v>
          </cell>
          <cell r="C470" t="str">
            <v>Male</v>
          </cell>
          <cell r="I470" t="str">
            <v>12/10/1939</v>
          </cell>
          <cell r="J470" t="str">
            <v>06:15:00 AM</v>
          </cell>
          <cell r="L470">
            <v>5.5</v>
          </cell>
          <cell r="M470">
            <v>10.786999399999999</v>
          </cell>
          <cell r="N470">
            <v>79.137827400000006</v>
          </cell>
        </row>
        <row r="471">
          <cell r="B471" t="str">
            <v>Sadhana</v>
          </cell>
          <cell r="C471" t="str">
            <v>Female</v>
          </cell>
          <cell r="I471" t="str">
            <v>20/9/2001</v>
          </cell>
          <cell r="J471" t="str">
            <v>03:54:00 PM</v>
          </cell>
          <cell r="L471">
            <v>5.5</v>
          </cell>
          <cell r="M471">
            <v>12.971598699999999</v>
          </cell>
          <cell r="N471">
            <v>77.594562699999997</v>
          </cell>
        </row>
        <row r="472">
          <cell r="B472" t="str">
            <v>SAHAN KUMAR</v>
          </cell>
          <cell r="C472" t="str">
            <v>Male</v>
          </cell>
          <cell r="I472" t="str">
            <v>26/7/1997</v>
          </cell>
          <cell r="J472" t="str">
            <v>05:15:20 PM</v>
          </cell>
          <cell r="L472">
            <v>5.5</v>
          </cell>
          <cell r="M472">
            <v>12.971598699999999</v>
          </cell>
          <cell r="N472">
            <v>77.594562699999997</v>
          </cell>
        </row>
        <row r="473">
          <cell r="B473" t="str">
            <v>Sahana</v>
          </cell>
          <cell r="C473" t="str">
            <v>Female</v>
          </cell>
          <cell r="I473" t="str">
            <v>16/7/1994</v>
          </cell>
          <cell r="J473" t="str">
            <v>03:16:00 AM</v>
          </cell>
          <cell r="L473">
            <v>5.5</v>
          </cell>
          <cell r="M473">
            <v>19.075983699999998</v>
          </cell>
          <cell r="N473">
            <v>72.877655899999993</v>
          </cell>
        </row>
        <row r="474">
          <cell r="B474" t="str">
            <v>Sahana Padmanabhan</v>
          </cell>
          <cell r="C474" t="str">
            <v>Female</v>
          </cell>
          <cell r="I474" t="str">
            <v>17/10/1995</v>
          </cell>
          <cell r="J474" t="str">
            <v>06:00:00 AM</v>
          </cell>
          <cell r="L474">
            <v>-5</v>
          </cell>
          <cell r="M474">
            <v>41.2565369</v>
          </cell>
          <cell r="N474">
            <v>-95.934503399999997</v>
          </cell>
        </row>
        <row r="475">
          <cell r="B475" t="str">
            <v>SAI SUDHA</v>
          </cell>
          <cell r="C475" t="str">
            <v>Female</v>
          </cell>
          <cell r="I475" t="str">
            <v>6/5/1996</v>
          </cell>
          <cell r="J475" t="str">
            <v>07:25:00 PM</v>
          </cell>
          <cell r="L475">
            <v>5.5</v>
          </cell>
          <cell r="M475">
            <v>11.664325</v>
          </cell>
          <cell r="N475">
            <v>78.146014199999996</v>
          </cell>
        </row>
        <row r="476">
          <cell r="B476" t="str">
            <v>Saikanth Bala</v>
          </cell>
          <cell r="C476" t="str">
            <v>Male</v>
          </cell>
          <cell r="I476" t="str">
            <v>28/3/2015</v>
          </cell>
          <cell r="J476" t="str">
            <v>11:01:51 AM</v>
          </cell>
          <cell r="L476">
            <v>5.5</v>
          </cell>
          <cell r="M476">
            <v>12.916516700000001</v>
          </cell>
          <cell r="N476">
            <v>79.132498600000005</v>
          </cell>
        </row>
        <row r="477">
          <cell r="B477" t="str">
            <v>Saikirtana</v>
          </cell>
          <cell r="C477" t="str">
            <v>Female</v>
          </cell>
          <cell r="I477" t="str">
            <v>7/3/2000</v>
          </cell>
          <cell r="J477" t="str">
            <v>01:42:58 PM</v>
          </cell>
          <cell r="L477">
            <v>5.5</v>
          </cell>
          <cell r="M477">
            <v>12.971598699999999</v>
          </cell>
          <cell r="N477">
            <v>77.594562699999997</v>
          </cell>
        </row>
        <row r="478">
          <cell r="B478" t="str">
            <v>Sairam Kannan</v>
          </cell>
          <cell r="C478" t="str">
            <v>Male</v>
          </cell>
          <cell r="I478" t="str">
            <v>9/12/1985</v>
          </cell>
          <cell r="J478" t="str">
            <v>02:17:00 AM</v>
          </cell>
          <cell r="L478">
            <v>5.5</v>
          </cell>
          <cell r="M478">
            <v>10.7904833</v>
          </cell>
          <cell r="N478">
            <v>78.704672500000001</v>
          </cell>
        </row>
        <row r="479">
          <cell r="B479" t="str">
            <v>Sakthivel S</v>
          </cell>
          <cell r="C479" t="str">
            <v>Male</v>
          </cell>
          <cell r="I479" t="str">
            <v>9/11/1980</v>
          </cell>
          <cell r="J479" t="str">
            <v>11:53:30 AM</v>
          </cell>
          <cell r="L479">
            <v>5.5</v>
          </cell>
          <cell r="M479">
            <v>9.9252006999999995</v>
          </cell>
          <cell r="N479">
            <v>78.119775399999995</v>
          </cell>
        </row>
        <row r="480">
          <cell r="B480" t="str">
            <v>Samaravel</v>
          </cell>
          <cell r="C480" t="str">
            <v>Male</v>
          </cell>
          <cell r="I480" t="str">
            <v>28/9/1994</v>
          </cell>
          <cell r="J480" t="str">
            <v>09:06:40 PM</v>
          </cell>
          <cell r="L480">
            <v>5.5</v>
          </cell>
          <cell r="M480">
            <v>12.2252841</v>
          </cell>
          <cell r="N480">
            <v>79.074695700000007</v>
          </cell>
        </row>
        <row r="481">
          <cell r="B481" t="str">
            <v>Sampath</v>
          </cell>
          <cell r="C481" t="str">
            <v>Male</v>
          </cell>
          <cell r="I481" t="str">
            <v>12/10/1991</v>
          </cell>
          <cell r="J481" t="str">
            <v>10:30:00 PM</v>
          </cell>
          <cell r="L481">
            <v>5.5</v>
          </cell>
          <cell r="M481">
            <v>12.4754424</v>
          </cell>
          <cell r="N481">
            <v>78.585455300000007</v>
          </cell>
        </row>
        <row r="482">
          <cell r="B482" t="str">
            <v>Sanat Kumar</v>
          </cell>
          <cell r="C482" t="str">
            <v>Male</v>
          </cell>
          <cell r="I482" t="str">
            <v>3/8/1949</v>
          </cell>
          <cell r="J482" t="str">
            <v>03:50:00 AM</v>
          </cell>
          <cell r="L482">
            <v>5.5</v>
          </cell>
          <cell r="M482">
            <v>10.383286699999999</v>
          </cell>
          <cell r="N482">
            <v>78.800128999999998</v>
          </cell>
        </row>
        <row r="483">
          <cell r="B483" t="str">
            <v>Sanat Kumar</v>
          </cell>
          <cell r="C483" t="str">
            <v>Male</v>
          </cell>
          <cell r="I483" t="str">
            <v>3/8/1949</v>
          </cell>
          <cell r="J483" t="str">
            <v>04:00:00 AM</v>
          </cell>
          <cell r="L483">
            <v>5.5</v>
          </cell>
          <cell r="M483">
            <v>10.383286699999999</v>
          </cell>
          <cell r="N483">
            <v>78.800128999999998</v>
          </cell>
        </row>
        <row r="484">
          <cell r="B484" t="str">
            <v>Sandhya</v>
          </cell>
          <cell r="C484" t="str">
            <v>Female</v>
          </cell>
          <cell r="I484" t="str">
            <v>14/7/1998</v>
          </cell>
          <cell r="J484" t="str">
            <v>01:30:00 AM</v>
          </cell>
          <cell r="L484">
            <v>5.5</v>
          </cell>
          <cell r="M484">
            <v>10.660892499999999</v>
          </cell>
          <cell r="N484">
            <v>77.004759000000007</v>
          </cell>
        </row>
        <row r="485">
          <cell r="B485" t="str">
            <v>Sangeetha</v>
          </cell>
          <cell r="C485" t="str">
            <v>Female</v>
          </cell>
          <cell r="I485" t="str">
            <v>24/9/1979</v>
          </cell>
          <cell r="J485" t="str">
            <v>02:16:00 PM</v>
          </cell>
          <cell r="L485">
            <v>5.5</v>
          </cell>
          <cell r="M485">
            <v>12.971598699999999</v>
          </cell>
          <cell r="N485">
            <v>77.594562699999997</v>
          </cell>
        </row>
        <row r="486">
          <cell r="B486" t="str">
            <v>Sangeetha_Salem</v>
          </cell>
          <cell r="C486" t="str">
            <v>Female</v>
          </cell>
          <cell r="I486" t="str">
            <v>21/7/1992</v>
          </cell>
          <cell r="J486" t="str">
            <v>12:56:00 AM</v>
          </cell>
          <cell r="L486">
            <v>5.5</v>
          </cell>
          <cell r="M486">
            <v>11.664325</v>
          </cell>
          <cell r="N486">
            <v>78.146014199999996</v>
          </cell>
        </row>
        <row r="487">
          <cell r="B487" t="str">
            <v>Sankara Narayanan</v>
          </cell>
          <cell r="C487" t="str">
            <v>Male</v>
          </cell>
          <cell r="I487" t="str">
            <v>13/9/1990</v>
          </cell>
          <cell r="J487" t="str">
            <v>11:55:00 PM</v>
          </cell>
          <cell r="L487">
            <v>5.5</v>
          </cell>
          <cell r="M487">
            <v>13.0826802</v>
          </cell>
          <cell r="N487">
            <v>80.270718400000007</v>
          </cell>
        </row>
        <row r="488">
          <cell r="B488" t="str">
            <v>Santosh M</v>
          </cell>
          <cell r="C488" t="str">
            <v>Male</v>
          </cell>
          <cell r="I488" t="str">
            <v>29/6/1994</v>
          </cell>
          <cell r="J488" t="str">
            <v>03:30:00 PM</v>
          </cell>
          <cell r="L488">
            <v>5.5</v>
          </cell>
          <cell r="M488">
            <v>12.740912700000001</v>
          </cell>
          <cell r="N488">
            <v>77.825292300000001</v>
          </cell>
        </row>
        <row r="489">
          <cell r="B489" t="str">
            <v>Sarabjit Handa</v>
          </cell>
          <cell r="C489" t="str">
            <v>Male</v>
          </cell>
          <cell r="I489" t="str">
            <v>5/5/1940</v>
          </cell>
          <cell r="J489" t="str">
            <v>10:30:00 PM</v>
          </cell>
          <cell r="L489">
            <v>5.5</v>
          </cell>
          <cell r="M489">
            <v>31.326015200000001</v>
          </cell>
          <cell r="N489">
            <v>75.576182900000006</v>
          </cell>
        </row>
        <row r="490">
          <cell r="B490" t="str">
            <v>Saranya</v>
          </cell>
          <cell r="C490" t="str">
            <v>Female</v>
          </cell>
          <cell r="I490" t="str">
            <v>17/10/1992</v>
          </cell>
          <cell r="J490" t="str">
            <v>02:08:00 AM</v>
          </cell>
          <cell r="L490">
            <v>5.5</v>
          </cell>
          <cell r="M490">
            <v>12.661975</v>
          </cell>
          <cell r="N490">
            <v>79.543484100000001</v>
          </cell>
        </row>
        <row r="491">
          <cell r="B491" t="str">
            <v>Saranyamala</v>
          </cell>
          <cell r="C491" t="str">
            <v>Female</v>
          </cell>
          <cell r="I491" t="str">
            <v>31/5/1995</v>
          </cell>
          <cell r="J491" t="str">
            <v>11:05:00 AM</v>
          </cell>
          <cell r="L491">
            <v>5.5</v>
          </cell>
          <cell r="M491">
            <v>12.740912700000001</v>
          </cell>
          <cell r="N491">
            <v>77.825292300000001</v>
          </cell>
        </row>
        <row r="492">
          <cell r="B492" t="str">
            <v>Sarat Balaji</v>
          </cell>
          <cell r="C492" t="str">
            <v>Male</v>
          </cell>
          <cell r="I492" t="str">
            <v>15/3/1990</v>
          </cell>
          <cell r="J492" t="str">
            <v>06:40:00 PM</v>
          </cell>
          <cell r="L492">
            <v>5.5</v>
          </cell>
          <cell r="M492">
            <v>13.1067448</v>
          </cell>
          <cell r="N492">
            <v>80.096951099999998</v>
          </cell>
        </row>
        <row r="493">
          <cell r="B493" t="str">
            <v>Sarathbabu</v>
          </cell>
          <cell r="C493" t="str">
            <v>Male</v>
          </cell>
          <cell r="I493" t="str">
            <v>16/7/1985</v>
          </cell>
          <cell r="J493" t="str">
            <v>10:30:28 AM</v>
          </cell>
          <cell r="L493">
            <v>5.5</v>
          </cell>
          <cell r="M493">
            <v>12.818455999999999</v>
          </cell>
          <cell r="N493">
            <v>79.694658599999997</v>
          </cell>
        </row>
        <row r="494">
          <cell r="B494" t="str">
            <v>Saravanakumar</v>
          </cell>
          <cell r="C494" t="str">
            <v>Male</v>
          </cell>
          <cell r="I494" t="str">
            <v>8/6/1976</v>
          </cell>
          <cell r="J494" t="str">
            <v>10:35:00 AM</v>
          </cell>
          <cell r="L494">
            <v>5.5</v>
          </cell>
          <cell r="M494">
            <v>10.628643800000001</v>
          </cell>
          <cell r="N494">
            <v>79.253088899999995</v>
          </cell>
        </row>
        <row r="495">
          <cell r="B495" t="str">
            <v>Saravanan</v>
          </cell>
          <cell r="C495" t="str">
            <v>Male</v>
          </cell>
          <cell r="I495" t="str">
            <v>8/6/1976</v>
          </cell>
          <cell r="J495" t="str">
            <v>10:35:00 AM</v>
          </cell>
          <cell r="L495">
            <v>5.5</v>
          </cell>
          <cell r="M495">
            <v>10.786999399999999</v>
          </cell>
          <cell r="N495">
            <v>79.137827400000006</v>
          </cell>
        </row>
        <row r="496">
          <cell r="B496" t="str">
            <v>Sargunam</v>
          </cell>
          <cell r="C496" t="str">
            <v>Male</v>
          </cell>
          <cell r="I496" t="str">
            <v>12/10/1960</v>
          </cell>
          <cell r="J496" t="str">
            <v>10:00:25 AM</v>
          </cell>
          <cell r="L496">
            <v>5.5</v>
          </cell>
          <cell r="M496">
            <v>13.123055799999999</v>
          </cell>
          <cell r="N496">
            <v>79.911952600000006</v>
          </cell>
        </row>
        <row r="497">
          <cell r="B497" t="str">
            <v>Saroja P.R</v>
          </cell>
          <cell r="C497" t="str">
            <v>Female</v>
          </cell>
          <cell r="I497" t="str">
            <v>25/11/1964</v>
          </cell>
          <cell r="J497">
            <v>0.21527777777777779</v>
          </cell>
          <cell r="L497">
            <v>5.5</v>
          </cell>
          <cell r="M497">
            <v>9.5679999999999996</v>
          </cell>
          <cell r="N497">
            <v>77.962400000000002</v>
          </cell>
        </row>
        <row r="498">
          <cell r="B498" t="str">
            <v xml:space="preserve">Sasi K </v>
          </cell>
          <cell r="C498" t="str">
            <v>Female</v>
          </cell>
          <cell r="I498" t="str">
            <v>11/8/1964</v>
          </cell>
          <cell r="J498">
            <v>0.84375</v>
          </cell>
          <cell r="L498">
            <v>5.5</v>
          </cell>
          <cell r="M498">
            <v>10.7661</v>
          </cell>
          <cell r="N498">
            <v>79.634399999999999</v>
          </cell>
        </row>
        <row r="499">
          <cell r="B499" t="str">
            <v>Sasikala</v>
          </cell>
          <cell r="C499" t="str">
            <v>Female</v>
          </cell>
          <cell r="I499" t="str">
            <v>18/8/1954</v>
          </cell>
          <cell r="J499" t="str">
            <v>06:29:30 AM</v>
          </cell>
          <cell r="L499">
            <v>5.5</v>
          </cell>
          <cell r="M499">
            <v>10.5488795</v>
          </cell>
          <cell r="N499">
            <v>79.639015000000001</v>
          </cell>
        </row>
        <row r="500">
          <cell r="B500" t="str">
            <v>Sasikumar M</v>
          </cell>
          <cell r="C500" t="str">
            <v>Male</v>
          </cell>
          <cell r="I500" t="str">
            <v>10/7/1974</v>
          </cell>
          <cell r="J500" t="str">
            <v>07:56:00 AM</v>
          </cell>
          <cell r="L500">
            <v>5.5</v>
          </cell>
          <cell r="M500">
            <v>11.664325</v>
          </cell>
          <cell r="N500">
            <v>78.146014199999996</v>
          </cell>
        </row>
        <row r="501">
          <cell r="B501" t="str">
            <v>Sathish</v>
          </cell>
          <cell r="C501" t="str">
            <v>Male</v>
          </cell>
          <cell r="I501" t="str">
            <v>11/7/1990</v>
          </cell>
          <cell r="J501" t="str">
            <v>06:31:00 PM</v>
          </cell>
          <cell r="L501">
            <v>5.5</v>
          </cell>
          <cell r="M501">
            <v>11.016844499999999</v>
          </cell>
          <cell r="N501">
            <v>76.955832099999995</v>
          </cell>
        </row>
        <row r="502">
          <cell r="B502" t="str">
            <v>Satish</v>
          </cell>
          <cell r="C502" t="str">
            <v>Male</v>
          </cell>
          <cell r="I502" t="str">
            <v>24/2/1990</v>
          </cell>
          <cell r="J502" t="str">
            <v>12:05:00 PM</v>
          </cell>
          <cell r="L502">
            <v>5.5</v>
          </cell>
          <cell r="M502">
            <v>11.664325</v>
          </cell>
          <cell r="N502">
            <v>78.146014199999996</v>
          </cell>
        </row>
        <row r="503">
          <cell r="B503" t="str">
            <v>SATISH</v>
          </cell>
          <cell r="C503" t="str">
            <v>Male</v>
          </cell>
          <cell r="I503" t="str">
            <v>7/9/1987</v>
          </cell>
          <cell r="J503" t="str">
            <v>09:50:00 AM</v>
          </cell>
          <cell r="L503">
            <v>5.5</v>
          </cell>
          <cell r="M503">
            <v>10.7661312</v>
          </cell>
          <cell r="N503">
            <v>79.634369100000001</v>
          </cell>
        </row>
        <row r="504">
          <cell r="B504" t="str">
            <v>Satish Kumar</v>
          </cell>
          <cell r="C504" t="str">
            <v>Male</v>
          </cell>
          <cell r="I504" t="str">
            <v>29/8/1999</v>
          </cell>
          <cell r="J504" t="str">
            <v>04:20:00 PM</v>
          </cell>
          <cell r="L504">
            <v>5.5</v>
          </cell>
          <cell r="M504">
            <v>12.2252841</v>
          </cell>
          <cell r="N504">
            <v>79.074695700000007</v>
          </cell>
        </row>
        <row r="505">
          <cell r="B505" t="str">
            <v>Satvik Somashekar</v>
          </cell>
          <cell r="C505" t="str">
            <v>Male</v>
          </cell>
          <cell r="I505" t="str">
            <v>19/9/1992</v>
          </cell>
          <cell r="J505" t="str">
            <v>03:44:00 PM</v>
          </cell>
          <cell r="L505">
            <v>5.5</v>
          </cell>
          <cell r="M505">
            <v>12.971598699999999</v>
          </cell>
          <cell r="N505">
            <v>77.594562699999997</v>
          </cell>
        </row>
        <row r="506">
          <cell r="B506" t="str">
            <v>Satyamurthy</v>
          </cell>
          <cell r="C506" t="str">
            <v>Male</v>
          </cell>
          <cell r="I506" t="str">
            <v>22/9/1956</v>
          </cell>
          <cell r="J506" t="str">
            <v>03:45:00 AM</v>
          </cell>
          <cell r="L506">
            <v>5.5</v>
          </cell>
          <cell r="M506">
            <v>12.971598699999999</v>
          </cell>
          <cell r="N506">
            <v>77.594562699999997</v>
          </cell>
        </row>
        <row r="507">
          <cell r="B507" t="str">
            <v>Savitha</v>
          </cell>
          <cell r="C507" t="str">
            <v>Female</v>
          </cell>
          <cell r="I507" t="str">
            <v>10/10/1984</v>
          </cell>
          <cell r="J507">
            <v>0.51597222222222217</v>
          </cell>
          <cell r="L507">
            <v>5.5</v>
          </cell>
          <cell r="M507">
            <v>12.533333333333333</v>
          </cell>
          <cell r="N507">
            <v>78.233333333333334</v>
          </cell>
        </row>
        <row r="508">
          <cell r="B508" t="str">
            <v>Savithri Lakshminarayanan</v>
          </cell>
          <cell r="C508" t="str">
            <v>Female</v>
          </cell>
          <cell r="I508" t="str">
            <v>27/1/1943</v>
          </cell>
          <cell r="J508" t="str">
            <v>03:30:30 PM</v>
          </cell>
          <cell r="L508">
            <v>5.5</v>
          </cell>
          <cell r="M508">
            <v>10.7904833</v>
          </cell>
          <cell r="N508">
            <v>78.704672500000001</v>
          </cell>
        </row>
        <row r="509">
          <cell r="B509" t="str">
            <v>Seethalakshmi</v>
          </cell>
          <cell r="C509" t="str">
            <v>Female</v>
          </cell>
          <cell r="I509" t="str">
            <v>22/11/1945</v>
          </cell>
          <cell r="J509">
            <v>0.85763888888888884</v>
          </cell>
          <cell r="L509">
            <v>5.5</v>
          </cell>
          <cell r="M509">
            <v>9.9252000000000002</v>
          </cell>
          <cell r="N509">
            <v>78.119799999999998</v>
          </cell>
        </row>
        <row r="510">
          <cell r="B510" t="str">
            <v>Sekhar KC</v>
          </cell>
          <cell r="C510" t="str">
            <v>Male</v>
          </cell>
          <cell r="I510" t="str">
            <v>8/5/1951</v>
          </cell>
          <cell r="J510">
            <v>0.54999999999999993</v>
          </cell>
          <cell r="L510">
            <v>5.5</v>
          </cell>
          <cell r="M510">
            <v>11.101800000000001</v>
          </cell>
          <cell r="N510">
            <v>79.652600000000007</v>
          </cell>
        </row>
        <row r="511">
          <cell r="B511" t="str">
            <v>SELVAMANI</v>
          </cell>
          <cell r="C511" t="str">
            <v>Female</v>
          </cell>
          <cell r="I511" t="str">
            <v>22/1/1981</v>
          </cell>
          <cell r="J511" t="str">
            <v>07:52:00 AM</v>
          </cell>
          <cell r="L511">
            <v>5.5</v>
          </cell>
          <cell r="M511">
            <v>10.925439799999999</v>
          </cell>
          <cell r="N511">
            <v>79.838005600000002</v>
          </cell>
        </row>
        <row r="512">
          <cell r="B512" t="str">
            <v>Senthilvadivu</v>
          </cell>
          <cell r="C512" t="str">
            <v>Female</v>
          </cell>
          <cell r="I512" t="str">
            <v>23/1/2021</v>
          </cell>
          <cell r="J512" t="str">
            <v>12:18:01 PM</v>
          </cell>
          <cell r="L512">
            <v>5.5</v>
          </cell>
          <cell r="M512">
            <v>12.740912700000001</v>
          </cell>
          <cell r="N512">
            <v>77.825292300000001</v>
          </cell>
        </row>
        <row r="513">
          <cell r="B513" t="str">
            <v>Sethupathy</v>
          </cell>
          <cell r="C513" t="str">
            <v>Male</v>
          </cell>
          <cell r="I513" t="str">
            <v>8/11/1970</v>
          </cell>
          <cell r="J513" t="str">
            <v>11:41:52 PM</v>
          </cell>
          <cell r="L513">
            <v>5.5</v>
          </cell>
          <cell r="M513">
            <v>10.184022300000001</v>
          </cell>
          <cell r="N513">
            <v>78.426463799999993</v>
          </cell>
        </row>
        <row r="514">
          <cell r="B514" t="str">
            <v>SHAKTHI ABHINAYA</v>
          </cell>
          <cell r="C514" t="str">
            <v>Female</v>
          </cell>
          <cell r="I514" t="str">
            <v>7/9/1999</v>
          </cell>
          <cell r="J514" t="str">
            <v>10:18:58 AM</v>
          </cell>
          <cell r="L514">
            <v>5.5</v>
          </cell>
          <cell r="M514">
            <v>8.7093170000000004</v>
          </cell>
          <cell r="N514">
            <v>77.452986800000005</v>
          </cell>
        </row>
        <row r="515">
          <cell r="B515" t="str">
            <v>Shankar Sivaramakrishnan</v>
          </cell>
          <cell r="C515" t="str">
            <v>Male</v>
          </cell>
          <cell r="I515" t="str">
            <v>14/3/1968</v>
          </cell>
          <cell r="J515" t="str">
            <v>07:29:10 AM</v>
          </cell>
          <cell r="L515">
            <v>5.5</v>
          </cell>
          <cell r="M515">
            <v>13.0417591</v>
          </cell>
          <cell r="N515">
            <v>80.234076099999996</v>
          </cell>
        </row>
        <row r="516">
          <cell r="B516" t="str">
            <v>Shankar Subramanian</v>
          </cell>
          <cell r="C516" t="str">
            <v>Male</v>
          </cell>
          <cell r="I516" t="str">
            <v>21/6/1975</v>
          </cell>
          <cell r="J516" t="str">
            <v>10:33:55 PM</v>
          </cell>
          <cell r="L516">
            <v>5.5</v>
          </cell>
          <cell r="M516">
            <v>19.218330699999999</v>
          </cell>
          <cell r="N516">
            <v>72.978089699999998</v>
          </cell>
        </row>
        <row r="517">
          <cell r="B517" t="str">
            <v>ShankarK_Nangavaram</v>
          </cell>
          <cell r="C517" t="str">
            <v>Male</v>
          </cell>
          <cell r="I517" t="str">
            <v>11/8/1960</v>
          </cell>
          <cell r="J517" t="str">
            <v>06:10:00 AM</v>
          </cell>
          <cell r="L517">
            <v>5.5</v>
          </cell>
          <cell r="M517">
            <v>10.8689345</v>
          </cell>
          <cell r="N517">
            <v>78.539820399999996</v>
          </cell>
        </row>
        <row r="518">
          <cell r="B518" t="str">
            <v>Sharadambal / Charu</v>
          </cell>
          <cell r="C518" t="str">
            <v>Female</v>
          </cell>
          <cell r="I518" t="str">
            <v>17/5/2003</v>
          </cell>
          <cell r="J518" t="str">
            <v>02:33:00 AM</v>
          </cell>
          <cell r="L518">
            <v>5.5</v>
          </cell>
          <cell r="M518">
            <v>13.0367914</v>
          </cell>
          <cell r="N518">
            <v>80.267630299999993</v>
          </cell>
        </row>
        <row r="519">
          <cell r="B519" t="str">
            <v>Sharmila</v>
          </cell>
          <cell r="C519" t="str">
            <v>Female</v>
          </cell>
          <cell r="I519" t="str">
            <v>25/2/1997</v>
          </cell>
          <cell r="J519" t="str">
            <v>09:30:00 PM</v>
          </cell>
          <cell r="L519">
            <v>5.5</v>
          </cell>
          <cell r="M519">
            <v>12.740912700000001</v>
          </cell>
          <cell r="N519">
            <v>77.825292300000001</v>
          </cell>
        </row>
        <row r="520">
          <cell r="B520" t="str">
            <v>Sheela Ashok</v>
          </cell>
          <cell r="C520" t="str">
            <v>Female</v>
          </cell>
          <cell r="I520" t="str">
            <v>3/4/1969</v>
          </cell>
          <cell r="J520" t="str">
            <v>03:50:20 PM</v>
          </cell>
          <cell r="L520">
            <v>5.5</v>
          </cell>
          <cell r="M520">
            <v>13.0826802</v>
          </cell>
          <cell r="N520">
            <v>80.270718400000007</v>
          </cell>
        </row>
        <row r="521">
          <cell r="B521" t="str">
            <v>SHIBU S KUMAR</v>
          </cell>
          <cell r="C521" t="str">
            <v>Male</v>
          </cell>
          <cell r="I521" t="str">
            <v>2/6/1992</v>
          </cell>
          <cell r="J521" t="str">
            <v>09:49:00 AM</v>
          </cell>
          <cell r="L521">
            <v>5.5</v>
          </cell>
          <cell r="M521">
            <v>10.660892499999999</v>
          </cell>
          <cell r="N521">
            <v>77.004759000000007</v>
          </cell>
        </row>
        <row r="522">
          <cell r="B522" t="str">
            <v>Shilpa R</v>
          </cell>
          <cell r="C522" t="str">
            <v>Female</v>
          </cell>
          <cell r="I522" t="str">
            <v>13/3/1996</v>
          </cell>
          <cell r="J522" t="str">
            <v>05:15:00 PM</v>
          </cell>
          <cell r="L522">
            <v>5.5</v>
          </cell>
          <cell r="M522">
            <v>9.2249929000000002</v>
          </cell>
          <cell r="N522">
            <v>76.678471000000002</v>
          </cell>
        </row>
        <row r="523">
          <cell r="B523" t="str">
            <v>Shiva</v>
          </cell>
          <cell r="C523" t="str">
            <v>Male</v>
          </cell>
          <cell r="I523" t="str">
            <v>1/10/1973</v>
          </cell>
          <cell r="J523" t="str">
            <v>04:15:00 AM</v>
          </cell>
          <cell r="L523">
            <v>5.5</v>
          </cell>
          <cell r="M523">
            <v>12.2252841</v>
          </cell>
          <cell r="N523">
            <v>79.074695700000007</v>
          </cell>
        </row>
        <row r="524">
          <cell r="B524" t="str">
            <v>Shivangni</v>
          </cell>
          <cell r="C524" t="str">
            <v>Female</v>
          </cell>
          <cell r="I524" t="str">
            <v>24/6/2009</v>
          </cell>
          <cell r="J524" t="str">
            <v>02:28:41 PM</v>
          </cell>
          <cell r="L524">
            <v>5.5</v>
          </cell>
          <cell r="M524">
            <v>12.971598699999999</v>
          </cell>
          <cell r="N524">
            <v>77.594562699999997</v>
          </cell>
        </row>
        <row r="525">
          <cell r="B525" t="str">
            <v>Shivansh</v>
          </cell>
          <cell r="C525" t="str">
            <v>Male</v>
          </cell>
          <cell r="I525" t="str">
            <v>14/2/2007</v>
          </cell>
          <cell r="J525" t="str">
            <v>04:23:00 PM</v>
          </cell>
          <cell r="L525">
            <v>5.5</v>
          </cell>
          <cell r="M525">
            <v>12.971598699999999</v>
          </cell>
          <cell r="N525">
            <v>77.594562699999997</v>
          </cell>
        </row>
        <row r="526">
          <cell r="B526" t="str">
            <v>Shobha</v>
          </cell>
          <cell r="C526" t="str">
            <v>Female</v>
          </cell>
          <cell r="I526" t="str">
            <v>21/7/1984</v>
          </cell>
          <cell r="J526" t="str">
            <v>10:10:00 AM</v>
          </cell>
          <cell r="L526">
            <v>5.5</v>
          </cell>
          <cell r="M526">
            <v>10.088933300000001</v>
          </cell>
          <cell r="N526">
            <v>77.059524800000005</v>
          </cell>
        </row>
        <row r="527">
          <cell r="B527" t="str">
            <v>Shreya Iyer Ramanathan</v>
          </cell>
          <cell r="C527" t="str">
            <v>Female</v>
          </cell>
          <cell r="I527" t="str">
            <v>21/1/1993</v>
          </cell>
          <cell r="J527" t="str">
            <v>08:21:18 AM</v>
          </cell>
          <cell r="L527">
            <v>5.5</v>
          </cell>
          <cell r="M527">
            <v>1.3520829999999999</v>
          </cell>
          <cell r="N527">
            <v>103.819836</v>
          </cell>
        </row>
        <row r="528">
          <cell r="B528" t="str">
            <v>Shreya Ramesh</v>
          </cell>
          <cell r="C528" t="str">
            <v>Female</v>
          </cell>
          <cell r="I528" t="str">
            <v>6/11/1996</v>
          </cell>
          <cell r="J528" t="str">
            <v>03:57:00 AM</v>
          </cell>
          <cell r="L528">
            <v>5.5</v>
          </cell>
          <cell r="M528">
            <v>13.056946699999999</v>
          </cell>
          <cell r="N528">
            <v>80.242469</v>
          </cell>
        </row>
        <row r="529">
          <cell r="B529" t="str">
            <v>Shrikanth</v>
          </cell>
          <cell r="C529" t="str">
            <v>Male</v>
          </cell>
          <cell r="I529" t="str">
            <v>4/11/1997</v>
          </cell>
          <cell r="J529">
            <v>0.33124999999999999</v>
          </cell>
          <cell r="L529">
            <v>5.5</v>
          </cell>
          <cell r="M529">
            <v>10.9601852</v>
          </cell>
          <cell r="N529">
            <v>79.384497600000003</v>
          </cell>
        </row>
        <row r="530">
          <cell r="B530" t="str">
            <v>Shriraksha K</v>
          </cell>
          <cell r="C530" t="str">
            <v>Female</v>
          </cell>
          <cell r="I530" t="str">
            <v>25/10/2004</v>
          </cell>
          <cell r="J530" t="str">
            <v>09:53:00 PM</v>
          </cell>
          <cell r="L530">
            <v>5.5</v>
          </cell>
          <cell r="M530">
            <v>11.664325</v>
          </cell>
          <cell r="N530">
            <v>78.146014199999996</v>
          </cell>
        </row>
        <row r="531">
          <cell r="B531" t="str">
            <v>Shriram G</v>
          </cell>
          <cell r="C531" t="str">
            <v>Male</v>
          </cell>
          <cell r="I531" t="str">
            <v>4/5/1995</v>
          </cell>
          <cell r="J531" t="str">
            <v>08:20:00 AM</v>
          </cell>
          <cell r="L531">
            <v>5.5</v>
          </cell>
          <cell r="M531">
            <v>10.7904833</v>
          </cell>
          <cell r="N531">
            <v>78.704672500000001</v>
          </cell>
        </row>
        <row r="532">
          <cell r="B532" t="str">
            <v>Shruti</v>
          </cell>
          <cell r="C532" t="str">
            <v>Female</v>
          </cell>
          <cell r="I532" t="str">
            <v>4/5/1999</v>
          </cell>
          <cell r="J532">
            <v>0.70486111111111116</v>
          </cell>
          <cell r="L532">
            <v>5.5</v>
          </cell>
          <cell r="M532">
            <v>8.5241000000000007</v>
          </cell>
          <cell r="N532">
            <v>76.936599999999999</v>
          </cell>
        </row>
        <row r="533">
          <cell r="B533" t="str">
            <v>Shruti</v>
          </cell>
          <cell r="C533" t="str">
            <v>Female</v>
          </cell>
          <cell r="I533" t="str">
            <v>19/9/1997</v>
          </cell>
          <cell r="J533" t="str">
            <v>10:32:00 AM</v>
          </cell>
          <cell r="L533">
            <v>5.5</v>
          </cell>
          <cell r="M533">
            <v>13.0826802</v>
          </cell>
          <cell r="N533">
            <v>80.270718400000007</v>
          </cell>
        </row>
        <row r="534">
          <cell r="B534" t="str">
            <v>Shweta Raghuvanshi</v>
          </cell>
          <cell r="C534" t="str">
            <v>Female</v>
          </cell>
          <cell r="I534" t="str">
            <v>18/6/1985</v>
          </cell>
          <cell r="J534" t="str">
            <v>12:00:00 PM</v>
          </cell>
          <cell r="L534">
            <v>5.5</v>
          </cell>
          <cell r="M534">
            <v>24.577514799999999</v>
          </cell>
          <cell r="N534">
            <v>77.731849499999996</v>
          </cell>
        </row>
        <row r="535">
          <cell r="B535" t="str">
            <v>Sidharth Raj</v>
          </cell>
          <cell r="C535" t="str">
            <v>Female</v>
          </cell>
          <cell r="I535" t="str">
            <v>14/5/1995</v>
          </cell>
          <cell r="J535" t="str">
            <v>07:45:05 PM</v>
          </cell>
          <cell r="L535">
            <v>5.5</v>
          </cell>
          <cell r="M535">
            <v>28.1919738</v>
          </cell>
          <cell r="N535">
            <v>76.619077399999995</v>
          </cell>
        </row>
        <row r="536">
          <cell r="B536" t="str">
            <v>Sindhu N</v>
          </cell>
          <cell r="C536" t="str">
            <v>Female</v>
          </cell>
          <cell r="I536" t="str">
            <v>16/9/1993</v>
          </cell>
          <cell r="J536" t="str">
            <v>06:47:00 PM</v>
          </cell>
          <cell r="L536">
            <v>5.5</v>
          </cell>
          <cell r="M536">
            <v>12.971598699999999</v>
          </cell>
          <cell r="N536">
            <v>77.594562699999997</v>
          </cell>
        </row>
        <row r="537">
          <cell r="B537" t="str">
            <v>Sinduja</v>
          </cell>
          <cell r="C537" t="str">
            <v>Female</v>
          </cell>
          <cell r="I537" t="str">
            <v>23/9/1994</v>
          </cell>
          <cell r="J537" t="str">
            <v>03:28:00 PM</v>
          </cell>
          <cell r="L537">
            <v>5.5</v>
          </cell>
          <cell r="M537">
            <v>11.3410364</v>
          </cell>
          <cell r="N537">
            <v>77.717164199999999</v>
          </cell>
        </row>
        <row r="538">
          <cell r="B538" t="str">
            <v>Siva Abhishek</v>
          </cell>
          <cell r="C538" t="str">
            <v>Male</v>
          </cell>
          <cell r="I538" t="str">
            <v>24/7/1994</v>
          </cell>
          <cell r="J538" t="str">
            <v>07:12:00 PM</v>
          </cell>
          <cell r="L538">
            <v>5.5</v>
          </cell>
          <cell r="M538">
            <v>11.664325</v>
          </cell>
          <cell r="N538">
            <v>78.146014199999996</v>
          </cell>
        </row>
        <row r="539">
          <cell r="B539" t="str">
            <v>SIVAKUMAR V</v>
          </cell>
          <cell r="C539" t="str">
            <v>Male</v>
          </cell>
          <cell r="I539" t="str">
            <v>4/6/1963</v>
          </cell>
          <cell r="J539" t="str">
            <v>07:46:00 PM</v>
          </cell>
          <cell r="L539">
            <v>5.5</v>
          </cell>
          <cell r="M539">
            <v>13.0826802</v>
          </cell>
          <cell r="N539">
            <v>80.270718400000007</v>
          </cell>
        </row>
        <row r="540">
          <cell r="B540" t="str">
            <v>Sivakumar V</v>
          </cell>
          <cell r="C540" t="str">
            <v>Male</v>
          </cell>
          <cell r="I540" t="str">
            <v>4/6/1963</v>
          </cell>
          <cell r="J540" t="str">
            <v>07:45:05 PM</v>
          </cell>
          <cell r="L540">
            <v>5.5</v>
          </cell>
          <cell r="M540">
            <v>12.9880288</v>
          </cell>
          <cell r="N540">
            <v>80.204713299999995</v>
          </cell>
        </row>
        <row r="541">
          <cell r="B541" t="str">
            <v>Sivalingam</v>
          </cell>
          <cell r="C541" t="str">
            <v>Male</v>
          </cell>
          <cell r="I541" t="str">
            <v>18/6/1979</v>
          </cell>
          <cell r="J541">
            <v>0.75347222222222221</v>
          </cell>
          <cell r="L541">
            <v>5.5</v>
          </cell>
          <cell r="M541">
            <v>12.916499999999999</v>
          </cell>
          <cell r="N541">
            <v>78.083333333333329</v>
          </cell>
        </row>
        <row r="542">
          <cell r="B542" t="str">
            <v>Sivaranjani</v>
          </cell>
          <cell r="C542" t="str">
            <v>Female</v>
          </cell>
          <cell r="I542" t="str">
            <v>25/10/1996</v>
          </cell>
          <cell r="J542" t="str">
            <v>09:35:00 AM</v>
          </cell>
          <cell r="L542">
            <v>5.5</v>
          </cell>
          <cell r="M542">
            <v>13.0826802</v>
          </cell>
          <cell r="N542">
            <v>80.270718400000007</v>
          </cell>
        </row>
        <row r="543">
          <cell r="B543" t="str">
            <v>Sivaranjani</v>
          </cell>
          <cell r="C543" t="str">
            <v>Female</v>
          </cell>
          <cell r="I543" t="str">
            <v>14/9/1999</v>
          </cell>
          <cell r="J543" t="str">
            <v>03:50:00 PM</v>
          </cell>
          <cell r="L543">
            <v>5.5</v>
          </cell>
          <cell r="M543">
            <v>11.2799662</v>
          </cell>
          <cell r="N543">
            <v>79.551914400000001</v>
          </cell>
        </row>
        <row r="544">
          <cell r="B544" t="str">
            <v>Sivasankari</v>
          </cell>
          <cell r="C544" t="str">
            <v>Female</v>
          </cell>
          <cell r="I544" t="str">
            <v>21/5/1991</v>
          </cell>
          <cell r="J544" t="str">
            <v>11:13:15 PM</v>
          </cell>
          <cell r="L544">
            <v>5.5</v>
          </cell>
          <cell r="M544">
            <v>11.664325</v>
          </cell>
          <cell r="N544">
            <v>78.146014199999996</v>
          </cell>
        </row>
        <row r="545">
          <cell r="B545" t="str">
            <v>SIVASHANMUGAM</v>
          </cell>
          <cell r="C545" t="str">
            <v>Male</v>
          </cell>
          <cell r="I545" t="str">
            <v>3/3/1979</v>
          </cell>
          <cell r="J545" t="str">
            <v>05:05:00 AM</v>
          </cell>
          <cell r="L545">
            <v>5.5</v>
          </cell>
          <cell r="M545">
            <v>12.1210997</v>
          </cell>
          <cell r="N545">
            <v>78.158214299999997</v>
          </cell>
        </row>
        <row r="546">
          <cell r="B546" t="str">
            <v>Sivasubramanian T</v>
          </cell>
          <cell r="C546" t="str">
            <v>Male</v>
          </cell>
          <cell r="I546" t="str">
            <v>8/2/1949</v>
          </cell>
          <cell r="J546" t="str">
            <v>02:28:40 AM</v>
          </cell>
          <cell r="L546">
            <v>5.5</v>
          </cell>
          <cell r="M546">
            <v>13.069790599999999</v>
          </cell>
          <cell r="N546">
            <v>80.224513599999995</v>
          </cell>
        </row>
        <row r="547">
          <cell r="B547" t="str">
            <v>Sneha Subramaniam</v>
          </cell>
          <cell r="C547" t="str">
            <v>Male</v>
          </cell>
          <cell r="I547" t="str">
            <v>20/3/1993</v>
          </cell>
          <cell r="J547" t="str">
            <v>10:40:00 AM</v>
          </cell>
          <cell r="L547">
            <v>5.5</v>
          </cell>
          <cell r="M547">
            <v>19.209400599999999</v>
          </cell>
          <cell r="N547">
            <v>73.093948299999994</v>
          </cell>
        </row>
        <row r="548">
          <cell r="B548" t="str">
            <v>Somasundaram</v>
          </cell>
          <cell r="C548" t="str">
            <v>Male</v>
          </cell>
          <cell r="I548" t="str">
            <v>2/5/1979</v>
          </cell>
          <cell r="J548" t="str">
            <v>08:10:00 AM</v>
          </cell>
          <cell r="L548">
            <v>5.5</v>
          </cell>
          <cell r="M548">
            <v>9.8432998999999999</v>
          </cell>
          <cell r="N548">
            <v>78.480877500000005</v>
          </cell>
        </row>
        <row r="549">
          <cell r="B549" t="str">
            <v>Sonal Singh</v>
          </cell>
          <cell r="C549" t="str">
            <v>Male</v>
          </cell>
          <cell r="I549" t="str">
            <v>3/5/1989</v>
          </cell>
          <cell r="J549" t="str">
            <v>12:35:00 AM</v>
          </cell>
          <cell r="L549">
            <v>5.5</v>
          </cell>
          <cell r="M549">
            <v>25.594094699999999</v>
          </cell>
          <cell r="N549">
            <v>85.137564499999996</v>
          </cell>
        </row>
        <row r="550">
          <cell r="B550" t="str">
            <v>Sonia Gandhi</v>
          </cell>
          <cell r="C550" t="str">
            <v>Female</v>
          </cell>
          <cell r="I550" t="str">
            <v>9/12/1946</v>
          </cell>
          <cell r="J550" t="str">
            <v>09:30:00 PM</v>
          </cell>
          <cell r="L550">
            <v>5.5</v>
          </cell>
          <cell r="M550">
            <v>45.785030599999999</v>
          </cell>
          <cell r="N550">
            <v>11.5765461</v>
          </cell>
        </row>
        <row r="551">
          <cell r="B551" t="str">
            <v>Soundarya</v>
          </cell>
          <cell r="C551" t="str">
            <v>Female</v>
          </cell>
          <cell r="I551" t="str">
            <v>22/10/1996</v>
          </cell>
          <cell r="J551" t="str">
            <v>04:14:37 PM</v>
          </cell>
          <cell r="L551">
            <v>5.5</v>
          </cell>
          <cell r="M551">
            <v>12.971598699999999</v>
          </cell>
          <cell r="N551">
            <v>77.594562699999997</v>
          </cell>
        </row>
        <row r="552">
          <cell r="B552" t="str">
            <v>Sourav Ganguly</v>
          </cell>
          <cell r="C552" t="str">
            <v>Male</v>
          </cell>
          <cell r="I552" t="str">
            <v>8/7/1972</v>
          </cell>
          <cell r="J552" t="str">
            <v>08:20:00 AM</v>
          </cell>
          <cell r="L552">
            <v>5.5</v>
          </cell>
          <cell r="M552">
            <v>22.572645999999999</v>
          </cell>
          <cell r="N552">
            <v>88.363894999999999</v>
          </cell>
        </row>
        <row r="553">
          <cell r="B553" t="str">
            <v>Sowmya TV</v>
          </cell>
          <cell r="C553" t="str">
            <v>Female</v>
          </cell>
          <cell r="I553" t="str">
            <v>20/10/1997</v>
          </cell>
          <cell r="J553" t="str">
            <v>06:30:00 AM</v>
          </cell>
          <cell r="L553">
            <v>5.5</v>
          </cell>
          <cell r="M553">
            <v>13.0826802</v>
          </cell>
          <cell r="N553">
            <v>80.270718400000007</v>
          </cell>
        </row>
        <row r="554">
          <cell r="B554" t="str">
            <v>Sowmya Venkat</v>
          </cell>
          <cell r="C554" t="str">
            <v>Female</v>
          </cell>
          <cell r="I554" t="str">
            <v>7/8/1987</v>
          </cell>
          <cell r="J554" t="str">
            <v>04:30:00 PM</v>
          </cell>
          <cell r="L554">
            <v>5.5</v>
          </cell>
          <cell r="M554">
            <v>13.0826802</v>
          </cell>
          <cell r="N554">
            <v>80.270718400000007</v>
          </cell>
        </row>
        <row r="555">
          <cell r="B555" t="str">
            <v>Sparsh Natani</v>
          </cell>
          <cell r="C555" t="str">
            <v>Male</v>
          </cell>
          <cell r="I555" t="str">
            <v>4/7/1983</v>
          </cell>
          <cell r="J555" t="str">
            <v>04:10:20 PM</v>
          </cell>
          <cell r="L555">
            <v>5.5</v>
          </cell>
          <cell r="M555">
            <v>26.9124336</v>
          </cell>
          <cell r="N555">
            <v>75.787270899999996</v>
          </cell>
        </row>
        <row r="556">
          <cell r="B556" t="str">
            <v>Sreshta</v>
          </cell>
          <cell r="C556" t="str">
            <v>Female</v>
          </cell>
          <cell r="I556" t="str">
            <v>13/7/2022</v>
          </cell>
          <cell r="J556" t="str">
            <v>12:53:00 PM</v>
          </cell>
          <cell r="L556">
            <v>-7</v>
          </cell>
          <cell r="M556">
            <v>32.715738000000002</v>
          </cell>
          <cell r="N556">
            <v>-117.1610838</v>
          </cell>
        </row>
        <row r="557">
          <cell r="B557" t="str">
            <v>Sri Janani Rengarajan</v>
          </cell>
          <cell r="C557" t="str">
            <v>Female</v>
          </cell>
          <cell r="I557" t="str">
            <v>13/12/1995</v>
          </cell>
          <cell r="J557" t="str">
            <v>10:44:00 AM</v>
          </cell>
          <cell r="L557">
            <v>5.5</v>
          </cell>
          <cell r="M557">
            <v>10.830778199999999</v>
          </cell>
          <cell r="N557">
            <v>78.679903699999997</v>
          </cell>
        </row>
        <row r="558">
          <cell r="B558" t="str">
            <v>Srila Prabhupada</v>
          </cell>
          <cell r="C558" t="str">
            <v>Male</v>
          </cell>
          <cell r="I558" t="str">
            <v>1/9/1896</v>
          </cell>
          <cell r="J558">
            <v>0.64166666666666672</v>
          </cell>
          <cell r="L558">
            <v>5.5</v>
          </cell>
          <cell r="M558">
            <v>22.566666666666666</v>
          </cell>
          <cell r="N558">
            <v>88.36666666666666</v>
          </cell>
        </row>
        <row r="559">
          <cell r="B559" t="str">
            <v>Sri Sai Diya</v>
          </cell>
          <cell r="C559" t="str">
            <v>Female</v>
          </cell>
          <cell r="I559" t="str">
            <v>14/7/2016</v>
          </cell>
          <cell r="J559" t="str">
            <v>03:15:00 PM</v>
          </cell>
          <cell r="L559">
            <v>5.5</v>
          </cell>
          <cell r="M559">
            <v>10.073539999999999</v>
          </cell>
          <cell r="N559">
            <v>78.773197999999994</v>
          </cell>
        </row>
        <row r="560">
          <cell r="B560" t="str">
            <v>Sri Vidya</v>
          </cell>
          <cell r="C560" t="str">
            <v>Female</v>
          </cell>
          <cell r="I560" t="str">
            <v>19/7/1997</v>
          </cell>
          <cell r="J560" t="str">
            <v>06:05:00 AM</v>
          </cell>
          <cell r="L560">
            <v>5.5</v>
          </cell>
          <cell r="M560">
            <v>10.9601852</v>
          </cell>
          <cell r="N560">
            <v>79.384497600000003</v>
          </cell>
        </row>
        <row r="561">
          <cell r="B561" t="str">
            <v>Sribalaji</v>
          </cell>
          <cell r="C561" t="str">
            <v>Male</v>
          </cell>
          <cell r="I561" t="str">
            <v>21/12/2002</v>
          </cell>
          <cell r="J561" t="str">
            <v>11:49:00 PM</v>
          </cell>
          <cell r="L561">
            <v>5.5</v>
          </cell>
          <cell r="M561">
            <v>10.073539999999999</v>
          </cell>
          <cell r="N561">
            <v>78.773197999999994</v>
          </cell>
        </row>
        <row r="562">
          <cell r="B562" t="str">
            <v>SRIDHAR A</v>
          </cell>
          <cell r="C562" t="str">
            <v>Male</v>
          </cell>
          <cell r="I562" t="str">
            <v>16/11/1980</v>
          </cell>
          <cell r="J562" t="str">
            <v>10:22:00 PM</v>
          </cell>
          <cell r="L562">
            <v>5.5</v>
          </cell>
          <cell r="M562">
            <v>13.0826802</v>
          </cell>
          <cell r="N562">
            <v>80.270718400000007</v>
          </cell>
        </row>
        <row r="563">
          <cell r="B563" t="str">
            <v>Sriharini</v>
          </cell>
          <cell r="C563" t="str">
            <v>Female</v>
          </cell>
          <cell r="I563" t="str">
            <v>23/12/2006</v>
          </cell>
          <cell r="J563" t="str">
            <v>05:45:20 PM</v>
          </cell>
          <cell r="L563">
            <v>5.5</v>
          </cell>
          <cell r="M563">
            <v>10.073539999999999</v>
          </cell>
          <cell r="N563">
            <v>78.773197999999994</v>
          </cell>
        </row>
        <row r="564">
          <cell r="B564" t="str">
            <v>Sriharshini</v>
          </cell>
          <cell r="C564" t="str">
            <v>Female</v>
          </cell>
          <cell r="I564" t="str">
            <v>23/12/2006</v>
          </cell>
          <cell r="J564" t="str">
            <v>05:43:00 PM</v>
          </cell>
          <cell r="L564">
            <v>5.5</v>
          </cell>
          <cell r="M564">
            <v>10.073539999999999</v>
          </cell>
          <cell r="N564">
            <v>78.773197999999994</v>
          </cell>
        </row>
        <row r="565">
          <cell r="B565" t="str">
            <v>SriJanani-Sudakshin</v>
          </cell>
          <cell r="C565" t="str">
            <v>Female</v>
          </cell>
          <cell r="I565" t="str">
            <v>9/6/2022</v>
          </cell>
          <cell r="J565" t="str">
            <v>08:33:00 AM</v>
          </cell>
          <cell r="L565">
            <v>5.5</v>
          </cell>
          <cell r="M565">
            <v>10.850266100000001</v>
          </cell>
          <cell r="N565">
            <v>78.699769900000007</v>
          </cell>
        </row>
        <row r="566">
          <cell r="B566" t="str">
            <v>Srikanth Seshagiri</v>
          </cell>
          <cell r="C566" t="str">
            <v>Male</v>
          </cell>
          <cell r="I566" t="str">
            <v>20/11/1968</v>
          </cell>
          <cell r="J566" t="str">
            <v>01:40:30 AM</v>
          </cell>
          <cell r="L566">
            <v>5.5</v>
          </cell>
          <cell r="M566">
            <v>17.439929500000002</v>
          </cell>
          <cell r="N566">
            <v>78.498274100000003</v>
          </cell>
        </row>
        <row r="567">
          <cell r="B567" t="str">
            <v>Srikrithika</v>
          </cell>
          <cell r="C567" t="str">
            <v>Female</v>
          </cell>
          <cell r="I567" t="str">
            <v>29/1/1996</v>
          </cell>
          <cell r="J567" t="str">
            <v>03:27:00 PM</v>
          </cell>
          <cell r="L567">
            <v>5.5</v>
          </cell>
          <cell r="M567">
            <v>10.073539999999999</v>
          </cell>
          <cell r="N567">
            <v>78.773197999999994</v>
          </cell>
        </row>
        <row r="568">
          <cell r="B568" t="str">
            <v>SriKrishna</v>
          </cell>
          <cell r="C568" t="str">
            <v>Male</v>
          </cell>
          <cell r="I568" t="str">
            <v>25/6/1991</v>
          </cell>
          <cell r="J568" t="str">
            <v>07:21:30 AM</v>
          </cell>
          <cell r="L568">
            <v>5.5</v>
          </cell>
          <cell r="M568">
            <v>13.0826802</v>
          </cell>
          <cell r="N568">
            <v>80.270718400000007</v>
          </cell>
        </row>
        <row r="569">
          <cell r="B569" t="str">
            <v>Srinivas Kashyap</v>
          </cell>
          <cell r="C569" t="str">
            <v>Male</v>
          </cell>
          <cell r="I569" t="str">
            <v>25/1/1999</v>
          </cell>
          <cell r="J569" t="str">
            <v>09:51:30 PM</v>
          </cell>
          <cell r="L569">
            <v>5.5</v>
          </cell>
          <cell r="M569">
            <v>17.385044000000001</v>
          </cell>
          <cell r="N569">
            <v>78.486671000000001</v>
          </cell>
        </row>
        <row r="570">
          <cell r="B570" t="str">
            <v>Srinivasan G</v>
          </cell>
          <cell r="C570" t="str">
            <v>Male</v>
          </cell>
          <cell r="I570" t="str">
            <v>6/5/1953</v>
          </cell>
          <cell r="J570" t="str">
            <v>10:25:00 AM</v>
          </cell>
          <cell r="L570">
            <v>5.5</v>
          </cell>
          <cell r="M570">
            <v>11.059913699999999</v>
          </cell>
          <cell r="N570">
            <v>76.274016900000007</v>
          </cell>
        </row>
        <row r="571">
          <cell r="B571" t="str">
            <v>SRINIVASAN M</v>
          </cell>
          <cell r="C571" t="str">
            <v>Male</v>
          </cell>
          <cell r="I571" t="str">
            <v>13/6/1924</v>
          </cell>
          <cell r="J571" t="str">
            <v>01:59:50 AM</v>
          </cell>
          <cell r="L571">
            <v>5.5</v>
          </cell>
          <cell r="M571">
            <v>10.4232271</v>
          </cell>
          <cell r="N571">
            <v>79.319998499999997</v>
          </cell>
        </row>
        <row r="572">
          <cell r="B572" t="str">
            <v>Srinivasan S</v>
          </cell>
          <cell r="C572" t="str">
            <v>Male</v>
          </cell>
          <cell r="I572" t="str">
            <v>6/2/1954</v>
          </cell>
          <cell r="J572" t="str">
            <v>09:30:00 PM</v>
          </cell>
          <cell r="L572">
            <v>5.5</v>
          </cell>
          <cell r="M572">
            <v>10.7904833</v>
          </cell>
          <cell r="N572">
            <v>78.704672500000001</v>
          </cell>
        </row>
        <row r="573">
          <cell r="B573" t="str">
            <v>Srinivasa Ramanujan</v>
          </cell>
          <cell r="C573" t="str">
            <v>Male</v>
          </cell>
          <cell r="I573" t="str">
            <v>22/12/1887</v>
          </cell>
          <cell r="J573" t="str">
            <v>06:20:00 PM</v>
          </cell>
          <cell r="L573">
            <v>5.5</v>
          </cell>
          <cell r="M573">
            <v>11.3410364</v>
          </cell>
          <cell r="N573">
            <v>77.717164199999999</v>
          </cell>
        </row>
        <row r="574">
          <cell r="B574" t="str">
            <v>Ss</v>
          </cell>
          <cell r="C574" t="str">
            <v>Male</v>
          </cell>
          <cell r="I574" t="str">
            <v>27/10/1967</v>
          </cell>
          <cell r="J574" t="str">
            <v>09:21:30 AM</v>
          </cell>
          <cell r="L574">
            <v>5.5</v>
          </cell>
          <cell r="M574">
            <v>12.916516700000001</v>
          </cell>
          <cell r="N574">
            <v>79.132498600000005</v>
          </cell>
        </row>
        <row r="575">
          <cell r="B575" t="str">
            <v>Stalin MK</v>
          </cell>
          <cell r="C575" t="str">
            <v>Male</v>
          </cell>
          <cell r="I575" t="str">
            <v>1/3/1953</v>
          </cell>
          <cell r="J575" t="str">
            <v>07:38:10 PM</v>
          </cell>
          <cell r="L575">
            <v>5.5</v>
          </cell>
          <cell r="M575">
            <v>13.0826802</v>
          </cell>
          <cell r="N575">
            <v>80.270718400000007</v>
          </cell>
        </row>
        <row r="576">
          <cell r="B576" t="str">
            <v>Suba</v>
          </cell>
          <cell r="C576" t="str">
            <v>Female</v>
          </cell>
          <cell r="I576" t="str">
            <v>6/6/1996</v>
          </cell>
          <cell r="J576" t="str">
            <v>01:15:20 AM</v>
          </cell>
          <cell r="L576">
            <v>5.5</v>
          </cell>
          <cell r="M576">
            <v>8.7198948999999999</v>
          </cell>
          <cell r="N576">
            <v>77.734428800000003</v>
          </cell>
        </row>
        <row r="577">
          <cell r="B577" t="str">
            <v>Subhashini</v>
          </cell>
          <cell r="C577" t="str">
            <v>Female</v>
          </cell>
          <cell r="I577" t="str">
            <v>22/6/1978</v>
          </cell>
          <cell r="J577" t="str">
            <v>02:30:00 PM</v>
          </cell>
          <cell r="L577">
            <v>5.5</v>
          </cell>
          <cell r="M577">
            <v>18.520430300000001</v>
          </cell>
          <cell r="N577">
            <v>73.856743699999996</v>
          </cell>
        </row>
        <row r="578">
          <cell r="B578" t="str">
            <v>Subhashini</v>
          </cell>
          <cell r="C578" t="str">
            <v>Female</v>
          </cell>
          <cell r="I578" t="str">
            <v>12/11/1994</v>
          </cell>
          <cell r="J578" t="str">
            <v>03:30:00 PM</v>
          </cell>
          <cell r="L578">
            <v>5.5</v>
          </cell>
          <cell r="M578">
            <v>13.0826802</v>
          </cell>
          <cell r="N578">
            <v>80.270718400000007</v>
          </cell>
        </row>
        <row r="579">
          <cell r="B579" t="str">
            <v>Subhashini Venkatesan</v>
          </cell>
          <cell r="C579" t="str">
            <v>Female</v>
          </cell>
          <cell r="I579" t="str">
            <v>1/9/1965</v>
          </cell>
          <cell r="J579" t="str">
            <v>02:28:40 AM</v>
          </cell>
          <cell r="L579">
            <v>5.5</v>
          </cell>
          <cell r="M579">
            <v>10.7904833</v>
          </cell>
          <cell r="N579">
            <v>78.704672500000001</v>
          </cell>
        </row>
        <row r="580">
          <cell r="B580" t="str">
            <v>Subramanya Bharathy</v>
          </cell>
          <cell r="C580" t="str">
            <v>Male</v>
          </cell>
          <cell r="I580" t="str">
            <v>11/12/1882</v>
          </cell>
          <cell r="J580">
            <v>0.89166666666666661</v>
          </cell>
          <cell r="L580">
            <v>5.5</v>
          </cell>
          <cell r="M580">
            <v>9.09</v>
          </cell>
          <cell r="N580">
            <v>77.59</v>
          </cell>
        </row>
        <row r="581">
          <cell r="B581" t="str">
            <v>Subramanian Ramamurthy</v>
          </cell>
          <cell r="C581" t="str">
            <v>Male</v>
          </cell>
          <cell r="I581" t="str">
            <v>7/1/1958</v>
          </cell>
          <cell r="J581">
            <v>0.3263888888888889</v>
          </cell>
          <cell r="L581">
            <v>5.5</v>
          </cell>
          <cell r="M581">
            <v>10.766666666666667</v>
          </cell>
          <cell r="N581">
            <v>79.650000000000006</v>
          </cell>
        </row>
        <row r="582">
          <cell r="B582" t="str">
            <v>Subramani J</v>
          </cell>
          <cell r="C582" t="str">
            <v>Male</v>
          </cell>
          <cell r="I582" t="str">
            <v>13/7/1959</v>
          </cell>
          <cell r="J582" t="str">
            <v>06:55:00 AM</v>
          </cell>
          <cell r="L582">
            <v>5.5</v>
          </cell>
          <cell r="M582">
            <v>11.016844499999999</v>
          </cell>
          <cell r="N582">
            <v>76.955832099999995</v>
          </cell>
        </row>
        <row r="583">
          <cell r="B583" t="str">
            <v>Sudakshin</v>
          </cell>
          <cell r="C583" t="str">
            <v>Male</v>
          </cell>
          <cell r="I583" t="str">
            <v>22/9/1995</v>
          </cell>
          <cell r="J583" t="str">
            <v>01:24:00 PM</v>
          </cell>
          <cell r="L583">
            <v>5.5</v>
          </cell>
          <cell r="M583">
            <v>12.740912700000001</v>
          </cell>
          <cell r="N583">
            <v>77.825292300000001</v>
          </cell>
        </row>
        <row r="584">
          <cell r="B584" t="str">
            <v>Sudha</v>
          </cell>
          <cell r="C584" t="str">
            <v>Female</v>
          </cell>
          <cell r="I584" t="str">
            <v>29/4/1995</v>
          </cell>
          <cell r="J584" t="str">
            <v>01:10:00 PM</v>
          </cell>
          <cell r="L584">
            <v>5.5</v>
          </cell>
          <cell r="M584">
            <v>11.941591499999999</v>
          </cell>
          <cell r="N584">
            <v>79.808313299999995</v>
          </cell>
        </row>
        <row r="585">
          <cell r="B585" t="str">
            <v>Sudha</v>
          </cell>
          <cell r="C585" t="str">
            <v>Female</v>
          </cell>
          <cell r="I585" t="str">
            <v>17/1/1984</v>
          </cell>
          <cell r="J585" t="str">
            <v>09:19:00 AM</v>
          </cell>
          <cell r="L585">
            <v>5.5</v>
          </cell>
          <cell r="M585">
            <v>11.016844499999999</v>
          </cell>
          <cell r="N585">
            <v>76.955832099999995</v>
          </cell>
        </row>
        <row r="586">
          <cell r="B586" t="str">
            <v>SUDHA ARUNACHALAM</v>
          </cell>
          <cell r="C586" t="str">
            <v>Female</v>
          </cell>
          <cell r="I586" t="str">
            <v>22/2/1971</v>
          </cell>
          <cell r="J586" t="str">
            <v>09:17:00 PM</v>
          </cell>
          <cell r="L586">
            <v>5.5</v>
          </cell>
          <cell r="M586">
            <v>13.0826802</v>
          </cell>
          <cell r="N586">
            <v>80.270718400000007</v>
          </cell>
        </row>
        <row r="587">
          <cell r="B587" t="str">
            <v>Sudha Chandran</v>
          </cell>
          <cell r="C587" t="str">
            <v>Female</v>
          </cell>
          <cell r="I587" t="str">
            <v>21/9/1963</v>
          </cell>
          <cell r="J587" t="str">
            <v>01:45:00 PM</v>
          </cell>
          <cell r="L587">
            <v>5.5</v>
          </cell>
          <cell r="M587">
            <v>19.075983699999998</v>
          </cell>
          <cell r="N587">
            <v>72.877655899999993</v>
          </cell>
        </row>
        <row r="588">
          <cell r="B588" t="str">
            <v>Sudha R</v>
          </cell>
          <cell r="C588" t="str">
            <v>Female</v>
          </cell>
          <cell r="I588" t="str">
            <v>14/6/1964</v>
          </cell>
          <cell r="J588" t="str">
            <v>09:38:40 PM</v>
          </cell>
          <cell r="L588">
            <v>5.5</v>
          </cell>
          <cell r="M588">
            <v>10.7904833</v>
          </cell>
          <cell r="N588">
            <v>78.704672500000001</v>
          </cell>
        </row>
        <row r="589">
          <cell r="B589" t="str">
            <v>Sugandha</v>
          </cell>
          <cell r="C589" t="str">
            <v>Female</v>
          </cell>
          <cell r="I589" t="str">
            <v>31/7/1975</v>
          </cell>
          <cell r="J589" t="str">
            <v>06:49:00 PM</v>
          </cell>
          <cell r="L589">
            <v>5.5</v>
          </cell>
          <cell r="M589">
            <v>30.7285106</v>
          </cell>
          <cell r="N589">
            <v>76.892272899999995</v>
          </cell>
        </row>
        <row r="590">
          <cell r="B590" t="str">
            <v>Sugandha Sandu</v>
          </cell>
          <cell r="C590" t="str">
            <v>Female</v>
          </cell>
          <cell r="I590" t="str">
            <v>16/10/1967</v>
          </cell>
          <cell r="J590" t="str">
            <v>05:14:00 PM</v>
          </cell>
          <cell r="L590">
            <v>5.5</v>
          </cell>
          <cell r="M590">
            <v>10.3269734</v>
          </cell>
          <cell r="N590">
            <v>76.955396699999994</v>
          </cell>
        </row>
        <row r="591">
          <cell r="B591" t="str">
            <v>Sujitha</v>
          </cell>
          <cell r="C591" t="str">
            <v>Female</v>
          </cell>
          <cell r="I591" t="str">
            <v>17/8/1985</v>
          </cell>
          <cell r="J591" t="str">
            <v>10:10:00 AM</v>
          </cell>
          <cell r="L591">
            <v>5.5</v>
          </cell>
          <cell r="M591">
            <v>12.818455999999999</v>
          </cell>
          <cell r="N591">
            <v>79.694658599999997</v>
          </cell>
        </row>
        <row r="592">
          <cell r="B592" t="str">
            <v>Sumathi Muthukrishnan</v>
          </cell>
          <cell r="C592" t="str">
            <v>Female</v>
          </cell>
          <cell r="I592" t="str">
            <v>12/10/1963</v>
          </cell>
          <cell r="J592" t="str">
            <v>08:05:00 PM</v>
          </cell>
          <cell r="L592">
            <v>5.5</v>
          </cell>
          <cell r="M592">
            <v>13.0521019</v>
          </cell>
          <cell r="N592">
            <v>80.225528600000004</v>
          </cell>
        </row>
        <row r="593">
          <cell r="B593" t="str">
            <v>Sundar Anand</v>
          </cell>
          <cell r="C593" t="str">
            <v>Male</v>
          </cell>
          <cell r="I593" t="str">
            <v>7/9/1996</v>
          </cell>
          <cell r="J593" t="str">
            <v>08:59:00 AM</v>
          </cell>
          <cell r="L593">
            <v>5.5</v>
          </cell>
          <cell r="M593">
            <v>13.114339299999999</v>
          </cell>
          <cell r="N593">
            <v>80.154784399999997</v>
          </cell>
        </row>
        <row r="594">
          <cell r="B594" t="str">
            <v>SUNDAR PICHAI</v>
          </cell>
          <cell r="C594" t="str">
            <v>Male</v>
          </cell>
          <cell r="I594" t="str">
            <v>12/7/1972</v>
          </cell>
          <cell r="J594" t="str">
            <v>04:02:20 AM</v>
          </cell>
          <cell r="L594">
            <v>5.5</v>
          </cell>
          <cell r="M594">
            <v>9.9252006999999995</v>
          </cell>
          <cell r="N594">
            <v>78.119775399999995</v>
          </cell>
        </row>
        <row r="595">
          <cell r="B595" t="str">
            <v>Sunil</v>
          </cell>
          <cell r="C595" t="str">
            <v>Male</v>
          </cell>
          <cell r="I595" t="str">
            <v>20/7/1994</v>
          </cell>
          <cell r="J595" t="str">
            <v>10:56:00 PM</v>
          </cell>
          <cell r="L595">
            <v>5.5</v>
          </cell>
          <cell r="M595">
            <v>12.6518078</v>
          </cell>
          <cell r="N595">
            <v>77.208579400000005</v>
          </cell>
        </row>
        <row r="596">
          <cell r="B596" t="str">
            <v>Sunil_Horary</v>
          </cell>
          <cell r="C596" t="str">
            <v>Male</v>
          </cell>
          <cell r="I596" t="str">
            <v>26/7/2020</v>
          </cell>
          <cell r="J596" t="str">
            <v>10:55:59 AM</v>
          </cell>
          <cell r="L596">
            <v>5.5</v>
          </cell>
          <cell r="M596">
            <v>12.740912700000001</v>
          </cell>
          <cell r="N596">
            <v>77.825292300000001</v>
          </cell>
        </row>
        <row r="597">
          <cell r="B597" t="str">
            <v>Sunita V Iyer</v>
          </cell>
          <cell r="C597" t="str">
            <v>Female</v>
          </cell>
          <cell r="I597" t="str">
            <v>2/4/1990</v>
          </cell>
          <cell r="J597" t="str">
            <v>01:31:00 PM</v>
          </cell>
          <cell r="L597">
            <v>5.5</v>
          </cell>
          <cell r="M597">
            <v>19.075983699999998</v>
          </cell>
          <cell r="N597">
            <v>72.877655899999993</v>
          </cell>
        </row>
        <row r="598">
          <cell r="B598" t="str">
            <v>Sur(edu)</v>
          </cell>
          <cell r="C598" t="str">
            <v>Male</v>
          </cell>
          <cell r="I598" t="str">
            <v>9/4/2004</v>
          </cell>
          <cell r="J598" t="str">
            <v>07:43:35 AM</v>
          </cell>
          <cell r="L598">
            <v>5.5</v>
          </cell>
          <cell r="M598">
            <v>13.0417591</v>
          </cell>
          <cell r="N598">
            <v>80.234076099999996</v>
          </cell>
        </row>
        <row r="599">
          <cell r="B599" t="str">
            <v>Suren</v>
          </cell>
          <cell r="C599" t="str">
            <v>Male</v>
          </cell>
          <cell r="I599" t="str">
            <v>4/2/1987</v>
          </cell>
          <cell r="J599" t="str">
            <v>08:41:02 PM</v>
          </cell>
          <cell r="L599">
            <v>5.5</v>
          </cell>
          <cell r="M599">
            <v>11.664325</v>
          </cell>
          <cell r="N599">
            <v>78.146014199999996</v>
          </cell>
        </row>
        <row r="600">
          <cell r="B600" t="str">
            <v>Suresh</v>
          </cell>
          <cell r="C600" t="str">
            <v>Male</v>
          </cell>
          <cell r="I600" t="str">
            <v>24/9/1980</v>
          </cell>
          <cell r="J600" t="str">
            <v>07:19:00 AM</v>
          </cell>
          <cell r="L600">
            <v>5.5</v>
          </cell>
          <cell r="M600">
            <v>11.016844499999999</v>
          </cell>
          <cell r="N600">
            <v>76.955832099999995</v>
          </cell>
        </row>
        <row r="601">
          <cell r="B601" t="str">
            <v>Suresh Babu</v>
          </cell>
          <cell r="C601" t="str">
            <v>Male</v>
          </cell>
          <cell r="I601" t="str">
            <v>10/7/1985</v>
          </cell>
          <cell r="J601" t="str">
            <v>07:15:00 PM</v>
          </cell>
          <cell r="L601">
            <v>5.5</v>
          </cell>
          <cell r="M601">
            <v>12.916516700000001</v>
          </cell>
          <cell r="N601">
            <v>79.132498600000005</v>
          </cell>
        </row>
        <row r="602">
          <cell r="B602" t="str">
            <v>Suresh K</v>
          </cell>
          <cell r="C602" t="str">
            <v>Male</v>
          </cell>
          <cell r="I602" t="str">
            <v>30/11/1965</v>
          </cell>
          <cell r="J602">
            <v>0.34930555555555554</v>
          </cell>
          <cell r="L602">
            <v>5.5</v>
          </cell>
          <cell r="M602">
            <v>10.7905</v>
          </cell>
          <cell r="N602">
            <v>78.704700000000003</v>
          </cell>
        </row>
        <row r="603">
          <cell r="B603" t="str">
            <v>Surya</v>
          </cell>
          <cell r="C603" t="str">
            <v>Male</v>
          </cell>
          <cell r="I603" t="str">
            <v>26/4/1999</v>
          </cell>
          <cell r="J603" t="str">
            <v>01:15:00 AM</v>
          </cell>
          <cell r="L603">
            <v>5.5</v>
          </cell>
          <cell r="M603">
            <v>12.295810400000001</v>
          </cell>
          <cell r="N603">
            <v>76.639380500000001</v>
          </cell>
        </row>
        <row r="604">
          <cell r="B604" t="str">
            <v>Surya Raghava</v>
          </cell>
          <cell r="C604" t="str">
            <v>Male</v>
          </cell>
          <cell r="I604" t="str">
            <v>8/1/1984</v>
          </cell>
          <cell r="J604" t="str">
            <v>08:05:30 PM</v>
          </cell>
          <cell r="L604">
            <v>5.5</v>
          </cell>
          <cell r="M604">
            <v>11.3410364</v>
          </cell>
          <cell r="N604">
            <v>77.717164199999999</v>
          </cell>
        </row>
        <row r="605">
          <cell r="B605" t="str">
            <v>Surya S</v>
          </cell>
          <cell r="C605" t="str">
            <v>Male</v>
          </cell>
          <cell r="I605" t="str">
            <v>9/4/2004</v>
          </cell>
          <cell r="J605">
            <v>0.32083333333333336</v>
          </cell>
          <cell r="L605">
            <v>5.5</v>
          </cell>
          <cell r="M605">
            <v>13.036666666666667</v>
          </cell>
          <cell r="N605">
            <v>80.268333333333331</v>
          </cell>
        </row>
        <row r="606">
          <cell r="B606" t="str">
            <v>Surya Tejas</v>
          </cell>
          <cell r="C606" t="str">
            <v>Male</v>
          </cell>
          <cell r="I606" t="str">
            <v>22/2/1993</v>
          </cell>
          <cell r="J606" t="str">
            <v>12:53:00 PM</v>
          </cell>
          <cell r="L606">
            <v>5.5</v>
          </cell>
          <cell r="M606">
            <v>12.971598699999999</v>
          </cell>
          <cell r="N606">
            <v>77.594562699999997</v>
          </cell>
        </row>
        <row r="607">
          <cell r="B607" t="str">
            <v>Surya V</v>
          </cell>
          <cell r="C607" t="str">
            <v>Male</v>
          </cell>
          <cell r="I607" t="str">
            <v>20/4/1995</v>
          </cell>
          <cell r="J607" t="str">
            <v>07:26:00 PM</v>
          </cell>
          <cell r="L607">
            <v>5.5</v>
          </cell>
          <cell r="M607">
            <v>13.0826802</v>
          </cell>
          <cell r="N607">
            <v>80.270718400000007</v>
          </cell>
        </row>
        <row r="608">
          <cell r="B608" t="str">
            <v>Suryakala</v>
          </cell>
          <cell r="C608" t="str">
            <v>Female</v>
          </cell>
          <cell r="I608" t="str">
            <v>3/10/1988</v>
          </cell>
          <cell r="J608" t="str">
            <v>01:52:30 PM</v>
          </cell>
          <cell r="L608">
            <v>5.5</v>
          </cell>
          <cell r="M608">
            <v>10.585477900000001</v>
          </cell>
          <cell r="N608">
            <v>77.251345299999997</v>
          </cell>
        </row>
        <row r="609">
          <cell r="B609" t="str">
            <v>Suryanarayanan</v>
          </cell>
          <cell r="C609" t="str">
            <v>Male</v>
          </cell>
          <cell r="I609" t="str">
            <v>6/5/1980</v>
          </cell>
          <cell r="J609" t="str">
            <v>05:50:10 AM</v>
          </cell>
          <cell r="L609">
            <v>5.5</v>
          </cell>
          <cell r="M609">
            <v>12.951611</v>
          </cell>
          <cell r="N609">
            <v>80.146166300000004</v>
          </cell>
        </row>
        <row r="610">
          <cell r="B610" t="str">
            <v>Swarna Kamakshi</v>
          </cell>
          <cell r="C610" t="str">
            <v>Female</v>
          </cell>
          <cell r="I610" t="str">
            <v>5/7/1996</v>
          </cell>
          <cell r="J610" t="str">
            <v>06:24:00 AM</v>
          </cell>
          <cell r="L610">
            <v>5.5</v>
          </cell>
          <cell r="M610">
            <v>13.0826802</v>
          </cell>
          <cell r="N610">
            <v>80.270718400000007</v>
          </cell>
        </row>
        <row r="611">
          <cell r="B611" t="str">
            <v>swathi()</v>
          </cell>
          <cell r="C611" t="str">
            <v>Female</v>
          </cell>
          <cell r="I611" t="str">
            <v>29/1/1992</v>
          </cell>
          <cell r="J611" t="str">
            <v>06:15:48 AM</v>
          </cell>
          <cell r="L611">
            <v>5.5</v>
          </cell>
          <cell r="M611">
            <v>15.2688542</v>
          </cell>
          <cell r="N611">
            <v>76.390924100000007</v>
          </cell>
        </row>
        <row r="612">
          <cell r="B612" t="str">
            <v>Swati Hariharan</v>
          </cell>
          <cell r="C612" t="str">
            <v>Female</v>
          </cell>
          <cell r="I612" t="str">
            <v>19/4/1981</v>
          </cell>
          <cell r="J612">
            <v>0.85069444444444453</v>
          </cell>
          <cell r="L612">
            <v>5.5</v>
          </cell>
          <cell r="M612">
            <v>18.520399999999999</v>
          </cell>
          <cell r="N612">
            <v>73.856700000000004</v>
          </cell>
        </row>
        <row r="613">
          <cell r="B613" t="str">
            <v>Swami Chandrasekhara Saraswati</v>
          </cell>
          <cell r="C613" t="str">
            <v>Male</v>
          </cell>
          <cell r="I613" t="str">
            <v>20/5/1894</v>
          </cell>
          <cell r="J613" t="str">
            <v>01:22:00 PM</v>
          </cell>
          <cell r="L613">
            <v>5.5</v>
          </cell>
          <cell r="M613">
            <v>11.9401378</v>
          </cell>
          <cell r="N613">
            <v>79.486144899999999</v>
          </cell>
        </row>
        <row r="614">
          <cell r="B614" t="str">
            <v>Swami Jayendra Saraswati</v>
          </cell>
          <cell r="C614" t="str">
            <v>Male</v>
          </cell>
          <cell r="I614" t="str">
            <v>18/7/1935</v>
          </cell>
          <cell r="J614">
            <v>0.7895833333333333</v>
          </cell>
          <cell r="L614">
            <v>5.5</v>
          </cell>
          <cell r="M614">
            <v>10.644500000000001</v>
          </cell>
          <cell r="N614">
            <v>79.584599999999995</v>
          </cell>
        </row>
        <row r="615">
          <cell r="B615" t="str">
            <v>Swami Ramakrishna Paramahansa</v>
          </cell>
          <cell r="C615" t="str">
            <v>Male</v>
          </cell>
          <cell r="I615" t="str">
            <v>18/2/1836</v>
          </cell>
          <cell r="J615">
            <v>0.28055555555555556</v>
          </cell>
          <cell r="L615">
            <v>5.5</v>
          </cell>
          <cell r="M615">
            <v>22.883333333333333</v>
          </cell>
          <cell r="N615">
            <v>87.733333333333334</v>
          </cell>
        </row>
        <row r="616">
          <cell r="B616" t="str">
            <v>Swami Sivananda</v>
          </cell>
          <cell r="C616" t="str">
            <v>Male</v>
          </cell>
          <cell r="I616" t="str">
            <v>8/9/1887</v>
          </cell>
          <cell r="J616">
            <v>0.19097222222222221</v>
          </cell>
          <cell r="L616">
            <v>5.5</v>
          </cell>
          <cell r="M616">
            <v>8.8000000000000007</v>
          </cell>
          <cell r="N616">
            <v>77.666666666666671</v>
          </cell>
        </row>
        <row r="617">
          <cell r="B617" t="str">
            <v>Swami Vivekananda</v>
          </cell>
          <cell r="C617" t="str">
            <v>Male</v>
          </cell>
          <cell r="I617" t="str">
            <v>12/1/1863</v>
          </cell>
          <cell r="J617">
            <v>0.25578703703703703</v>
          </cell>
          <cell r="L617">
            <v>5.5</v>
          </cell>
          <cell r="M617">
            <v>22.572645999999999</v>
          </cell>
          <cell r="N617">
            <v>88.363894999999999</v>
          </cell>
        </row>
        <row r="618">
          <cell r="B618" t="str">
            <v>Swetha</v>
          </cell>
          <cell r="C618" t="str">
            <v>Female</v>
          </cell>
          <cell r="I618" t="str">
            <v>7/12/1996</v>
          </cell>
          <cell r="J618" t="str">
            <v>08:59:00 PM</v>
          </cell>
          <cell r="L618">
            <v>5.5</v>
          </cell>
          <cell r="M618">
            <v>12.9801897</v>
          </cell>
          <cell r="N618">
            <v>80.126460699999996</v>
          </cell>
        </row>
        <row r="619">
          <cell r="B619" t="str">
            <v>Swetha</v>
          </cell>
          <cell r="C619" t="str">
            <v>Female</v>
          </cell>
          <cell r="I619" t="str">
            <v>16/7/1992</v>
          </cell>
          <cell r="J619" t="str">
            <v>08:20:10 AM</v>
          </cell>
          <cell r="L619">
            <v>5.5</v>
          </cell>
          <cell r="M619">
            <v>12.980741800000001</v>
          </cell>
          <cell r="N619">
            <v>80.1882363</v>
          </cell>
        </row>
        <row r="620">
          <cell r="B620" t="str">
            <v>Swethapriya</v>
          </cell>
          <cell r="C620" t="str">
            <v>Female</v>
          </cell>
          <cell r="I620" t="str">
            <v>30/4/1997</v>
          </cell>
          <cell r="J620" t="str">
            <v>12:27:00 PM</v>
          </cell>
          <cell r="L620">
            <v>5.5</v>
          </cell>
          <cell r="M620">
            <v>12.4754424</v>
          </cell>
          <cell r="N620">
            <v>78.585455300000007</v>
          </cell>
        </row>
        <row r="621">
          <cell r="B621" t="str">
            <v>Tanishaa</v>
          </cell>
          <cell r="C621" t="str">
            <v>Female</v>
          </cell>
          <cell r="I621" t="str">
            <v>21/6/2016</v>
          </cell>
          <cell r="J621" t="str">
            <v>07:00:00 PM</v>
          </cell>
          <cell r="L621">
            <v>5.5</v>
          </cell>
          <cell r="M621">
            <v>12.818455999999999</v>
          </cell>
          <cell r="N621">
            <v>79.694658599999997</v>
          </cell>
        </row>
        <row r="622">
          <cell r="B622" t="str">
            <v>Tapas</v>
          </cell>
          <cell r="C622" t="str">
            <v>Male</v>
          </cell>
          <cell r="I622" t="str">
            <v>21/4/2020</v>
          </cell>
          <cell r="J622" t="str">
            <v>02:44:30 PM</v>
          </cell>
          <cell r="L622">
            <v>5.5</v>
          </cell>
          <cell r="M622">
            <v>12.971598699999999</v>
          </cell>
          <cell r="N622">
            <v>77.594562699999997</v>
          </cell>
        </row>
        <row r="623">
          <cell r="B623" t="str">
            <v>Tarakesh</v>
          </cell>
          <cell r="C623" t="str">
            <v>Male</v>
          </cell>
          <cell r="I623" t="str">
            <v>29/3/1975</v>
          </cell>
          <cell r="J623" t="str">
            <v>04:22:00 PM</v>
          </cell>
          <cell r="L623">
            <v>5.5</v>
          </cell>
          <cell r="M623">
            <v>10.7904833</v>
          </cell>
          <cell r="N623">
            <v>78.704672500000001</v>
          </cell>
        </row>
        <row r="624">
          <cell r="B624" t="str">
            <v>Tarun K</v>
          </cell>
          <cell r="C624" t="str">
            <v>Male</v>
          </cell>
          <cell r="I624" t="str">
            <v>14/6/2008</v>
          </cell>
          <cell r="J624" t="str">
            <v>03:10:00 PM</v>
          </cell>
          <cell r="L624">
            <v>5.5</v>
          </cell>
          <cell r="M624">
            <v>11.742880299999999</v>
          </cell>
          <cell r="N624">
            <v>78.0473128</v>
          </cell>
        </row>
        <row r="625">
          <cell r="B625" t="str">
            <v>TATA JRD</v>
          </cell>
          <cell r="C625" t="str">
            <v>Male</v>
          </cell>
          <cell r="I625" t="str">
            <v>29/7/1904</v>
          </cell>
          <cell r="J625">
            <v>0.8847222222222223</v>
          </cell>
          <cell r="L625">
            <v>1</v>
          </cell>
          <cell r="M625">
            <v>2.3333333333333335</v>
          </cell>
          <cell r="N625">
            <v>48.866666666666667</v>
          </cell>
        </row>
        <row r="626">
          <cell r="B626" t="str">
            <v>Tesla, Nikola</v>
          </cell>
          <cell r="C626" t="str">
            <v>Male</v>
          </cell>
          <cell r="I626" t="str">
            <v>10/7/1856</v>
          </cell>
          <cell r="J626" t="str">
            <v>12:00:00 AM</v>
          </cell>
          <cell r="L626">
            <v>5.5</v>
          </cell>
          <cell r="M626">
            <v>44.563792399999997</v>
          </cell>
          <cell r="N626">
            <v>15.320403000000001</v>
          </cell>
        </row>
        <row r="627">
          <cell r="B627" t="str">
            <v>Th</v>
          </cell>
          <cell r="C627" t="str">
            <v>Male</v>
          </cell>
          <cell r="I627" t="str">
            <v>19/11/1970</v>
          </cell>
          <cell r="J627">
            <v>0.93611111111111101</v>
          </cell>
          <cell r="L627">
            <v>5.5</v>
          </cell>
          <cell r="M627">
            <v>10.766666666666667</v>
          </cell>
          <cell r="N627">
            <v>79.650000000000006</v>
          </cell>
        </row>
        <row r="628">
          <cell r="B628" t="str">
            <v>Tha</v>
          </cell>
          <cell r="C628" t="str">
            <v>Male</v>
          </cell>
          <cell r="I628" t="str">
            <v>26/2/1982</v>
          </cell>
          <cell r="J628" t="str">
            <v>10:45:35 AM</v>
          </cell>
          <cell r="L628">
            <v>5.5</v>
          </cell>
          <cell r="M628">
            <v>12.0469674</v>
          </cell>
          <cell r="N628">
            <v>78.483272900000003</v>
          </cell>
        </row>
        <row r="629">
          <cell r="B629" t="str">
            <v>Tha (NAN)</v>
          </cell>
          <cell r="C629" t="str">
            <v>Male</v>
          </cell>
          <cell r="I629" t="str">
            <v>22/12/1976</v>
          </cell>
          <cell r="J629" t="str">
            <v>11:14:21 PM</v>
          </cell>
          <cell r="L629">
            <v>5.5</v>
          </cell>
          <cell r="M629">
            <v>10.489981800000001</v>
          </cell>
          <cell r="N629">
            <v>77.348235200000005</v>
          </cell>
        </row>
        <row r="630">
          <cell r="B630" t="str">
            <v>Tharun Kaushik</v>
          </cell>
          <cell r="C630" t="str">
            <v>Male</v>
          </cell>
          <cell r="I630" t="str">
            <v>4/5/1991</v>
          </cell>
          <cell r="J630" t="str">
            <v>07:25:00 AM</v>
          </cell>
          <cell r="L630">
            <v>5.5</v>
          </cell>
          <cell r="M630">
            <v>11.407044900000001</v>
          </cell>
          <cell r="N630">
            <v>79.691245499999994</v>
          </cell>
        </row>
        <row r="631">
          <cell r="B631" t="str">
            <v>Thiagarajan</v>
          </cell>
          <cell r="C631" t="str">
            <v>Male</v>
          </cell>
          <cell r="I631" t="str">
            <v>19/11/1970</v>
          </cell>
          <cell r="J631">
            <v>0.93611111111111101</v>
          </cell>
          <cell r="L631">
            <v>5.5</v>
          </cell>
          <cell r="M631">
            <v>10.7661312</v>
          </cell>
          <cell r="N631">
            <v>79.634369100000001</v>
          </cell>
        </row>
        <row r="632">
          <cell r="B632" t="str">
            <v>Thiagarajan Muscat</v>
          </cell>
          <cell r="C632" t="str">
            <v>Male</v>
          </cell>
          <cell r="I632" t="str">
            <v>19/11/1970</v>
          </cell>
          <cell r="J632">
            <v>0.93611111111111101</v>
          </cell>
          <cell r="L632">
            <v>5.5</v>
          </cell>
          <cell r="M632">
            <v>10.766666666666667</v>
          </cell>
          <cell r="N632">
            <v>79.650000000000006</v>
          </cell>
        </row>
        <row r="633">
          <cell r="B633" t="str">
            <v>THIRUMALA</v>
          </cell>
          <cell r="C633" t="str">
            <v>Male</v>
          </cell>
          <cell r="I633" t="str">
            <v>16/1/1968</v>
          </cell>
          <cell r="J633" t="str">
            <v>10:57:20 PM</v>
          </cell>
          <cell r="L633">
            <v>5.5</v>
          </cell>
          <cell r="M633">
            <v>10.7369152</v>
          </cell>
          <cell r="N633">
            <v>77.525769299999993</v>
          </cell>
        </row>
        <row r="634">
          <cell r="B634" t="str">
            <v>Thirunarayanan</v>
          </cell>
          <cell r="C634" t="str">
            <v>Male</v>
          </cell>
          <cell r="I634" t="str">
            <v>17/1/1964</v>
          </cell>
          <cell r="J634" t="str">
            <v>01:42:00 PM</v>
          </cell>
          <cell r="L634">
            <v>5.5</v>
          </cell>
          <cell r="M634">
            <v>8.7198948999999999</v>
          </cell>
          <cell r="N634">
            <v>77.734428800000003</v>
          </cell>
        </row>
        <row r="635">
          <cell r="B635" t="str">
            <v>TTN Demise</v>
          </cell>
          <cell r="C635" t="str">
            <v>Male</v>
          </cell>
          <cell r="I635" t="str">
            <v>21/6/2022</v>
          </cell>
          <cell r="J635">
            <v>0.92361111111111116</v>
          </cell>
          <cell r="L635">
            <v>5.5</v>
          </cell>
          <cell r="M635">
            <v>8.5241000000000007</v>
          </cell>
          <cell r="N635">
            <v>76.936599999999999</v>
          </cell>
        </row>
        <row r="636">
          <cell r="B636" t="str">
            <v>TK Mani</v>
          </cell>
          <cell r="C636" t="str">
            <v>Male</v>
          </cell>
          <cell r="I636" t="str">
            <v>21/12/1975</v>
          </cell>
          <cell r="J636" t="str">
            <v>03:54:00 AM</v>
          </cell>
          <cell r="L636">
            <v>5.5</v>
          </cell>
          <cell r="M636">
            <v>10.7904833</v>
          </cell>
          <cell r="N636">
            <v>78.704672500000001</v>
          </cell>
        </row>
        <row r="637">
          <cell r="B637" t="str">
            <v>today</v>
          </cell>
          <cell r="C637" t="str">
            <v>Male</v>
          </cell>
          <cell r="I637" t="str">
            <v>13/9/2020</v>
          </cell>
          <cell r="J637" t="str">
            <v>02:31:00 PM</v>
          </cell>
          <cell r="L637">
            <v>5.5</v>
          </cell>
          <cell r="M637">
            <v>12.740912700000001</v>
          </cell>
          <cell r="N637">
            <v>77.825292300000001</v>
          </cell>
        </row>
        <row r="638">
          <cell r="B638" t="str">
            <v>Uma Maheswari</v>
          </cell>
          <cell r="C638" t="str">
            <v>Female</v>
          </cell>
          <cell r="I638" t="str">
            <v>13/10/1984</v>
          </cell>
          <cell r="J638" t="str">
            <v>08:40:00 AM</v>
          </cell>
          <cell r="L638">
            <v>5.5</v>
          </cell>
          <cell r="M638">
            <v>10.628643800000001</v>
          </cell>
          <cell r="N638">
            <v>79.253088899999995</v>
          </cell>
        </row>
        <row r="639">
          <cell r="B639" t="str">
            <v>Uma Rao</v>
          </cell>
          <cell r="C639" t="str">
            <v>Female</v>
          </cell>
          <cell r="I639" t="str">
            <v>1/7/1969</v>
          </cell>
          <cell r="J639" t="str">
            <v>09:15:00 AM</v>
          </cell>
          <cell r="L639">
            <v>5.5</v>
          </cell>
          <cell r="M639">
            <v>10.7904833</v>
          </cell>
          <cell r="N639">
            <v>78.704672500000001</v>
          </cell>
        </row>
        <row r="640">
          <cell r="B640" t="str">
            <v>Uma Srinivasan</v>
          </cell>
          <cell r="C640" t="str">
            <v>Female</v>
          </cell>
          <cell r="I640" t="str">
            <v>23/7/1961</v>
          </cell>
          <cell r="J640" t="str">
            <v>01:30:00 PM</v>
          </cell>
          <cell r="L640">
            <v>5.5</v>
          </cell>
          <cell r="M640">
            <v>11.664325</v>
          </cell>
          <cell r="N640">
            <v>78.146014199999996</v>
          </cell>
        </row>
        <row r="641">
          <cell r="B641" t="str">
            <v>Usha Arunan</v>
          </cell>
          <cell r="C641" t="str">
            <v>Female</v>
          </cell>
          <cell r="I641" t="str">
            <v>18/3/1992</v>
          </cell>
          <cell r="J641" t="str">
            <v>04:19:15 AM</v>
          </cell>
          <cell r="L641">
            <v>5.5</v>
          </cell>
          <cell r="M641">
            <v>10.3788251</v>
          </cell>
          <cell r="N641">
            <v>78.387676999999996</v>
          </cell>
        </row>
        <row r="642">
          <cell r="B642" t="str">
            <v>Usha Lakshmanamurthy</v>
          </cell>
          <cell r="C642" t="str">
            <v>Female</v>
          </cell>
          <cell r="I642" t="str">
            <v>27/8/1962</v>
          </cell>
          <cell r="J642" t="str">
            <v>12:30:00 PM</v>
          </cell>
          <cell r="L642">
            <v>5.5</v>
          </cell>
          <cell r="M642">
            <v>10.7904833</v>
          </cell>
          <cell r="N642">
            <v>78.704672500000001</v>
          </cell>
        </row>
        <row r="643">
          <cell r="B643" t="str">
            <v>Usha Mahadevan</v>
          </cell>
          <cell r="C643" t="str">
            <v>Female</v>
          </cell>
          <cell r="I643" t="str">
            <v>1/5/1964</v>
          </cell>
          <cell r="J643" t="str">
            <v>10:47:00 PM</v>
          </cell>
          <cell r="L643">
            <v>5.5</v>
          </cell>
          <cell r="M643">
            <v>10.9601852</v>
          </cell>
          <cell r="N643">
            <v>79.384497600000003</v>
          </cell>
        </row>
        <row r="644">
          <cell r="B644" t="str">
            <v>UTKALIKA UDAY</v>
          </cell>
          <cell r="C644" t="str">
            <v>Female</v>
          </cell>
          <cell r="I644" t="str">
            <v>4/12/1990</v>
          </cell>
          <cell r="J644" t="str">
            <v>05:03:30 PM</v>
          </cell>
          <cell r="L644">
            <v>5.5</v>
          </cell>
          <cell r="M644">
            <v>26.119660700000001</v>
          </cell>
          <cell r="N644">
            <v>85.390981999999994</v>
          </cell>
        </row>
        <row r="645">
          <cell r="B645" t="str">
            <v>Utkarsh Goswami</v>
          </cell>
          <cell r="C645" t="str">
            <v>Male</v>
          </cell>
          <cell r="I645" t="str">
            <v>26/9/1994</v>
          </cell>
          <cell r="J645" t="str">
            <v>12:10:00 PM</v>
          </cell>
          <cell r="L645">
            <v>5.5</v>
          </cell>
          <cell r="M645">
            <v>23.596885700000001</v>
          </cell>
          <cell r="N645">
            <v>72.963037799999995</v>
          </cell>
        </row>
        <row r="646">
          <cell r="B646" t="str">
            <v>Utkarsha Uday</v>
          </cell>
          <cell r="C646" t="str">
            <v>Male</v>
          </cell>
          <cell r="I646" t="str">
            <v>3/9/1997</v>
          </cell>
          <cell r="J646" t="str">
            <v>07:15:00 AM</v>
          </cell>
          <cell r="L646">
            <v>5.5</v>
          </cell>
          <cell r="M646">
            <v>25.594094699999999</v>
          </cell>
          <cell r="N646">
            <v>85.137564499999996</v>
          </cell>
        </row>
        <row r="647">
          <cell r="B647" t="str">
            <v>Vaidyanathan</v>
          </cell>
          <cell r="C647" t="str">
            <v>Male</v>
          </cell>
          <cell r="I647" t="str">
            <v>29/5/1965</v>
          </cell>
          <cell r="J647">
            <v>0.51388888888888895</v>
          </cell>
          <cell r="L647">
            <v>5.5</v>
          </cell>
          <cell r="M647">
            <v>13.036666666666667</v>
          </cell>
          <cell r="N647">
            <v>80.268333333333331</v>
          </cell>
        </row>
        <row r="648">
          <cell r="B648" t="str">
            <v>Valarmathi</v>
          </cell>
          <cell r="C648" t="str">
            <v>Female</v>
          </cell>
          <cell r="I648" t="str">
            <v>10/6/1994</v>
          </cell>
          <cell r="J648" t="str">
            <v>05:00:00 AM</v>
          </cell>
          <cell r="L648">
            <v>5.5</v>
          </cell>
          <cell r="M648">
            <v>12.4214652</v>
          </cell>
          <cell r="N648">
            <v>78.217443500000002</v>
          </cell>
        </row>
        <row r="649">
          <cell r="B649" t="str">
            <v>Valarmathi Kuppuswamy</v>
          </cell>
          <cell r="C649" t="str">
            <v>Female</v>
          </cell>
          <cell r="I649" t="str">
            <v>10/6/1994</v>
          </cell>
          <cell r="J649" t="str">
            <v>05:00:00 AM</v>
          </cell>
          <cell r="L649">
            <v>5.5</v>
          </cell>
          <cell r="M649">
            <v>12.4214652</v>
          </cell>
          <cell r="N649">
            <v>78.217443500000002</v>
          </cell>
        </row>
        <row r="650">
          <cell r="B650" t="str">
            <v>VANI RAMESH</v>
          </cell>
          <cell r="C650" t="str">
            <v>Female</v>
          </cell>
          <cell r="I650" t="str">
            <v>22/10/1970</v>
          </cell>
          <cell r="J650" t="str">
            <v>09:50:00 AM</v>
          </cell>
          <cell r="L650">
            <v>5.5</v>
          </cell>
          <cell r="M650">
            <v>12.971598699999999</v>
          </cell>
          <cell r="N650">
            <v>77.594562699999997</v>
          </cell>
        </row>
        <row r="651">
          <cell r="B651" t="str">
            <v>Vani Sashidhar</v>
          </cell>
          <cell r="C651" t="str">
            <v>Female</v>
          </cell>
          <cell r="I651" t="str">
            <v>16/10/1963</v>
          </cell>
          <cell r="J651">
            <v>0.64027777777777783</v>
          </cell>
          <cell r="L651">
            <v>5.5</v>
          </cell>
          <cell r="M651">
            <v>13.866666666666667</v>
          </cell>
          <cell r="N651">
            <v>75.716666666666669</v>
          </cell>
        </row>
        <row r="652">
          <cell r="B652" t="str">
            <v>Varada</v>
          </cell>
          <cell r="C652" t="str">
            <v>Female</v>
          </cell>
          <cell r="I652" t="str">
            <v>20/6/2020</v>
          </cell>
          <cell r="J652" t="str">
            <v>01:07:55 PM</v>
          </cell>
          <cell r="L652">
            <v>5.5</v>
          </cell>
          <cell r="M652">
            <v>12.740912700000001</v>
          </cell>
          <cell r="N652">
            <v>77.825292300000001</v>
          </cell>
        </row>
        <row r="653">
          <cell r="B653" t="str">
            <v>Varadarajan VL</v>
          </cell>
          <cell r="C653" t="str">
            <v>Male</v>
          </cell>
          <cell r="I653" t="str">
            <v>29/2/1964</v>
          </cell>
          <cell r="J653" t="str">
            <v>10:30:00 PM</v>
          </cell>
          <cell r="L653">
            <v>5.5</v>
          </cell>
          <cell r="M653">
            <v>10.7904833</v>
          </cell>
          <cell r="N653">
            <v>78.704672500000001</v>
          </cell>
        </row>
        <row r="654">
          <cell r="B654" t="str">
            <v>Varalakshmi alias Savitri</v>
          </cell>
          <cell r="C654" t="str">
            <v>Female</v>
          </cell>
          <cell r="I654" t="str">
            <v>9/1/1958</v>
          </cell>
          <cell r="J654" t="str">
            <v>11:30:00 AM</v>
          </cell>
          <cell r="L654">
            <v>5.5</v>
          </cell>
          <cell r="M654">
            <v>13.450523199999999</v>
          </cell>
          <cell r="N654">
            <v>79.116479699999999</v>
          </cell>
        </row>
        <row r="655">
          <cell r="B655" t="str">
            <v>Varaprasad</v>
          </cell>
          <cell r="C655" t="str">
            <v>Male</v>
          </cell>
          <cell r="I655" t="str">
            <v>16/11/1978</v>
          </cell>
          <cell r="J655" t="str">
            <v>11:29:00 PM</v>
          </cell>
          <cell r="L655">
            <v>5.5</v>
          </cell>
          <cell r="M655">
            <v>12.916516700000001</v>
          </cell>
          <cell r="N655">
            <v>79.132498600000005</v>
          </cell>
        </row>
        <row r="656">
          <cell r="B656" t="str">
            <v>Vardhini</v>
          </cell>
          <cell r="C656" t="str">
            <v>Female</v>
          </cell>
          <cell r="I656" t="str">
            <v>29/12/1996</v>
          </cell>
          <cell r="J656" t="str">
            <v>10:17:00 AM</v>
          </cell>
          <cell r="L656">
            <v>5.5</v>
          </cell>
          <cell r="M656">
            <v>10.9612134</v>
          </cell>
          <cell r="N656">
            <v>79.660034300000007</v>
          </cell>
        </row>
        <row r="657">
          <cell r="B657" t="str">
            <v>Varshi Sairam</v>
          </cell>
          <cell r="C657" t="str">
            <v>Female</v>
          </cell>
          <cell r="I657" t="str">
            <v>23/9/1991</v>
          </cell>
          <cell r="J657" t="str">
            <v>06:01:00 PM</v>
          </cell>
          <cell r="L657">
            <v>5.5</v>
          </cell>
          <cell r="M657">
            <v>13.0826802</v>
          </cell>
          <cell r="N657">
            <v>80.270718400000007</v>
          </cell>
        </row>
        <row r="658">
          <cell r="B658" t="str">
            <v>Varshith</v>
          </cell>
          <cell r="C658" t="str">
            <v>Male</v>
          </cell>
          <cell r="I658" t="str">
            <v>23/2/2018</v>
          </cell>
          <cell r="J658" t="str">
            <v>03:55:25 PM</v>
          </cell>
          <cell r="L658">
            <v>5.5</v>
          </cell>
          <cell r="M658">
            <v>11.664325</v>
          </cell>
          <cell r="N658">
            <v>78.146014199999996</v>
          </cell>
        </row>
        <row r="659">
          <cell r="B659" t="str">
            <v>VARUN CA</v>
          </cell>
          <cell r="C659" t="str">
            <v>Male</v>
          </cell>
          <cell r="I659" t="str">
            <v>17/9/1998</v>
          </cell>
          <cell r="J659">
            <v>0.60763888888888895</v>
          </cell>
          <cell r="L659">
            <v>5.5</v>
          </cell>
          <cell r="M659">
            <v>12.740912700000001</v>
          </cell>
          <cell r="N659">
            <v>77.825292300000001</v>
          </cell>
        </row>
        <row r="660">
          <cell r="B660" t="str">
            <v>Varun Rangarajan Dr</v>
          </cell>
          <cell r="C660" t="str">
            <v>Male</v>
          </cell>
          <cell r="I660" t="str">
            <v>1/6/1992</v>
          </cell>
          <cell r="J660" t="str">
            <v>07:42:00 PM</v>
          </cell>
          <cell r="L660">
            <v>5.5</v>
          </cell>
          <cell r="M660">
            <v>11.016844499999999</v>
          </cell>
          <cell r="N660">
            <v>76.955832099999995</v>
          </cell>
        </row>
        <row r="661">
          <cell r="B661" t="str">
            <v>Vasantha Sadasivam</v>
          </cell>
          <cell r="C661" t="str">
            <v>Female</v>
          </cell>
          <cell r="I661" t="str">
            <v>19/11/1947</v>
          </cell>
          <cell r="J661" t="str">
            <v>09:49:40 AM</v>
          </cell>
          <cell r="L661">
            <v>5.5</v>
          </cell>
          <cell r="M661">
            <v>10.9601852</v>
          </cell>
          <cell r="N661">
            <v>79.384497600000003</v>
          </cell>
        </row>
        <row r="662">
          <cell r="B662" t="str">
            <v>Vasavi M</v>
          </cell>
          <cell r="C662" t="str">
            <v>Female</v>
          </cell>
          <cell r="I662" t="str">
            <v>16/3/1989</v>
          </cell>
          <cell r="J662" t="str">
            <v>12:45:00 PM</v>
          </cell>
          <cell r="L662">
            <v>5.5</v>
          </cell>
          <cell r="M662">
            <v>12.2985516</v>
          </cell>
          <cell r="N662">
            <v>78.073751099999996</v>
          </cell>
        </row>
        <row r="663">
          <cell r="B663" t="str">
            <v>Vasudevan</v>
          </cell>
          <cell r="C663" t="str">
            <v>Male</v>
          </cell>
          <cell r="I663" t="str">
            <v>8/10/1987</v>
          </cell>
          <cell r="J663" t="str">
            <v>10:14:14 AM</v>
          </cell>
          <cell r="L663">
            <v>5.5</v>
          </cell>
          <cell r="M663">
            <v>11.7480419</v>
          </cell>
          <cell r="N663">
            <v>79.771368699999996</v>
          </cell>
        </row>
        <row r="664">
          <cell r="B664" t="str">
            <v>Vedalakshmi</v>
          </cell>
          <cell r="C664" t="str">
            <v>Female</v>
          </cell>
          <cell r="I664" t="str">
            <v>12/10/1968</v>
          </cell>
          <cell r="J664" t="str">
            <v>03:15:00 PM</v>
          </cell>
          <cell r="L664">
            <v>5.5</v>
          </cell>
          <cell r="M664">
            <v>9.9252006999999995</v>
          </cell>
          <cell r="N664">
            <v>78.119775399999995</v>
          </cell>
        </row>
        <row r="665">
          <cell r="B665" t="str">
            <v>Ven</v>
          </cell>
          <cell r="C665" t="str">
            <v>Male</v>
          </cell>
          <cell r="I665" t="str">
            <v>11/12/1968</v>
          </cell>
          <cell r="J665" t="str">
            <v>03:45:15 AM</v>
          </cell>
          <cell r="L665">
            <v>5.5</v>
          </cell>
          <cell r="M665">
            <v>9.9252006999999995</v>
          </cell>
          <cell r="N665">
            <v>78.119775399999995</v>
          </cell>
        </row>
        <row r="666">
          <cell r="B666" t="str">
            <v>Venkat</v>
          </cell>
          <cell r="C666" t="str">
            <v>Male</v>
          </cell>
          <cell r="I666" t="str">
            <v>26/10/1983</v>
          </cell>
          <cell r="J666" t="str">
            <v>01:13:35 PM</v>
          </cell>
          <cell r="L666">
            <v>5.5</v>
          </cell>
          <cell r="M666">
            <v>12.4077243</v>
          </cell>
          <cell r="N666">
            <v>79.817025099999995</v>
          </cell>
        </row>
        <row r="667">
          <cell r="B667" t="str">
            <v>Venkat Narayanan</v>
          </cell>
          <cell r="C667" t="str">
            <v>Male</v>
          </cell>
          <cell r="I667" t="str">
            <v>16/10/1993</v>
          </cell>
          <cell r="J667" t="str">
            <v>09:28:00 AM</v>
          </cell>
          <cell r="L667">
            <v>5.5</v>
          </cell>
          <cell r="M667">
            <v>13.0826802</v>
          </cell>
          <cell r="N667">
            <v>80.270718400000007</v>
          </cell>
        </row>
        <row r="668">
          <cell r="B668" t="str">
            <v>Venkatasubramanian</v>
          </cell>
          <cell r="C668" t="str">
            <v>Male</v>
          </cell>
          <cell r="I668" t="str">
            <v>28/11/1986</v>
          </cell>
          <cell r="J668" t="str">
            <v>06:16:00 AM</v>
          </cell>
          <cell r="L668">
            <v>5.5</v>
          </cell>
          <cell r="M668">
            <v>13.0826802</v>
          </cell>
          <cell r="N668">
            <v>80.270718400000007</v>
          </cell>
        </row>
        <row r="669">
          <cell r="B669" t="str">
            <v>Venkatesan D</v>
          </cell>
          <cell r="C669" t="str">
            <v>Male</v>
          </cell>
          <cell r="I669" t="str">
            <v>7/5/1962</v>
          </cell>
          <cell r="J669" t="str">
            <v>11:30:00 AM</v>
          </cell>
          <cell r="L669">
            <v>5.5</v>
          </cell>
          <cell r="M669">
            <v>13.0489376</v>
          </cell>
          <cell r="N669">
            <v>80.258616200000006</v>
          </cell>
        </row>
        <row r="670">
          <cell r="B670" t="str">
            <v>Venkatesh</v>
          </cell>
          <cell r="C670" t="str">
            <v>Male</v>
          </cell>
          <cell r="I670" t="str">
            <v>1/2/1990</v>
          </cell>
          <cell r="J670" t="str">
            <v>05:12:00 PM</v>
          </cell>
          <cell r="L670">
            <v>5.5</v>
          </cell>
          <cell r="M670">
            <v>10.7661312</v>
          </cell>
          <cell r="N670">
            <v>79.634369100000001</v>
          </cell>
        </row>
        <row r="671">
          <cell r="B671" t="str">
            <v>Venkatesh</v>
          </cell>
          <cell r="C671" t="str">
            <v>Male</v>
          </cell>
          <cell r="I671" t="str">
            <v>17/10/1980</v>
          </cell>
          <cell r="J671" t="str">
            <v>09:51:00 PM</v>
          </cell>
          <cell r="L671">
            <v>5.5</v>
          </cell>
          <cell r="M671">
            <v>11.664325</v>
          </cell>
          <cell r="N671">
            <v>78.146014199999996</v>
          </cell>
        </row>
        <row r="672">
          <cell r="B672" t="str">
            <v>Venktesh P (Santosh)</v>
          </cell>
          <cell r="C672" t="str">
            <v>Male</v>
          </cell>
          <cell r="I672" t="str">
            <v>22/6/1993</v>
          </cell>
          <cell r="J672" t="str">
            <v>10:02:00 AM</v>
          </cell>
          <cell r="L672">
            <v>5.5</v>
          </cell>
          <cell r="M672">
            <v>10.7867303</v>
          </cell>
          <cell r="N672">
            <v>76.6547932</v>
          </cell>
        </row>
        <row r="673">
          <cell r="B673" t="str">
            <v>Venmani Stalin</v>
          </cell>
          <cell r="C673" t="str">
            <v>Female</v>
          </cell>
          <cell r="I673" t="str">
            <v>20/4/1983</v>
          </cell>
          <cell r="J673" t="str">
            <v>10:32:22 PM</v>
          </cell>
          <cell r="L673">
            <v>5.5</v>
          </cell>
          <cell r="M673">
            <v>12.3067864</v>
          </cell>
          <cell r="N673">
            <v>78.795785600000002</v>
          </cell>
        </row>
        <row r="674">
          <cell r="B674" t="str">
            <v>Vennila</v>
          </cell>
          <cell r="C674" t="str">
            <v>Female</v>
          </cell>
          <cell r="I674" t="str">
            <v>8/9/1972</v>
          </cell>
          <cell r="J674" t="str">
            <v>03:30:00 PM</v>
          </cell>
          <cell r="L674">
            <v>5.5</v>
          </cell>
          <cell r="M674">
            <v>11.664325</v>
          </cell>
          <cell r="N674">
            <v>78.146014199999996</v>
          </cell>
        </row>
        <row r="675">
          <cell r="B675" t="str">
            <v>Vidharth</v>
          </cell>
          <cell r="C675" t="str">
            <v>Male</v>
          </cell>
          <cell r="I675" t="str">
            <v>24/10/2021</v>
          </cell>
          <cell r="J675" t="str">
            <v>01:35:00 AM</v>
          </cell>
          <cell r="L675">
            <v>5.5</v>
          </cell>
          <cell r="M675">
            <v>10.7904833</v>
          </cell>
          <cell r="N675">
            <v>78.704672500000001</v>
          </cell>
        </row>
        <row r="676">
          <cell r="B676" t="str">
            <v>VIDITH</v>
          </cell>
          <cell r="C676" t="str">
            <v>Male</v>
          </cell>
          <cell r="I676" t="str">
            <v>1/5/2020</v>
          </cell>
          <cell r="J676" t="str">
            <v>12:16:05 PM</v>
          </cell>
          <cell r="L676">
            <v>-5</v>
          </cell>
          <cell r="M676">
            <v>29.7604267</v>
          </cell>
          <cell r="N676">
            <v>-95.369802800000002</v>
          </cell>
        </row>
        <row r="677">
          <cell r="B677" t="str">
            <v>Vidya</v>
          </cell>
          <cell r="C677" t="str">
            <v>Female</v>
          </cell>
          <cell r="I677" t="str">
            <v>29/10/1999</v>
          </cell>
          <cell r="J677" t="str">
            <v>11:10:00 AM</v>
          </cell>
          <cell r="L677">
            <v>5.5</v>
          </cell>
          <cell r="M677">
            <v>12.5265661</v>
          </cell>
          <cell r="N677">
            <v>78.214957499999997</v>
          </cell>
        </row>
        <row r="678">
          <cell r="B678" t="str">
            <v>VIDYASAGAR</v>
          </cell>
          <cell r="C678" t="str">
            <v>Male</v>
          </cell>
          <cell r="I678" t="str">
            <v>19/9/1990</v>
          </cell>
          <cell r="J678" t="str">
            <v>12:05:00 AM</v>
          </cell>
          <cell r="L678">
            <v>5.5</v>
          </cell>
          <cell r="M678">
            <v>10.9601852</v>
          </cell>
          <cell r="N678">
            <v>79.384497600000003</v>
          </cell>
        </row>
        <row r="679">
          <cell r="B679" t="str">
            <v>Vign</v>
          </cell>
          <cell r="C679" t="str">
            <v>Male</v>
          </cell>
          <cell r="I679" t="str">
            <v>15/3/2000</v>
          </cell>
          <cell r="J679" t="str">
            <v>06:42:10 AM</v>
          </cell>
          <cell r="L679">
            <v>5.5</v>
          </cell>
          <cell r="M679">
            <v>9.1777966000000006</v>
          </cell>
          <cell r="N679">
            <v>77.535124199999998</v>
          </cell>
        </row>
        <row r="680">
          <cell r="B680" t="str">
            <v>Vignesh</v>
          </cell>
          <cell r="C680" t="str">
            <v>Male</v>
          </cell>
          <cell r="I680" t="str">
            <v>2/3/1991</v>
          </cell>
          <cell r="J680" t="str">
            <v>03:43:00 AM</v>
          </cell>
          <cell r="L680">
            <v>5.5</v>
          </cell>
          <cell r="M680">
            <v>9.9252006999999995</v>
          </cell>
          <cell r="N680">
            <v>78.119775399999995</v>
          </cell>
        </row>
        <row r="681">
          <cell r="B681" t="str">
            <v>Vignesh</v>
          </cell>
          <cell r="C681" t="str">
            <v>Male</v>
          </cell>
          <cell r="I681" t="str">
            <v>13/8/1991</v>
          </cell>
          <cell r="J681" t="str">
            <v>12:45:00 AM</v>
          </cell>
          <cell r="L681">
            <v>5.5</v>
          </cell>
          <cell r="M681">
            <v>18.520430300000001</v>
          </cell>
          <cell r="N681">
            <v>73.856743699999996</v>
          </cell>
        </row>
        <row r="682">
          <cell r="B682" t="str">
            <v>Vignesh</v>
          </cell>
          <cell r="C682" t="str">
            <v>Male</v>
          </cell>
          <cell r="I682" t="str">
            <v>4/5/1991</v>
          </cell>
          <cell r="J682" t="str">
            <v>07:25:00 AM</v>
          </cell>
          <cell r="L682">
            <v>5.5</v>
          </cell>
          <cell r="M682">
            <v>11.0598753</v>
          </cell>
          <cell r="N682">
            <v>78.142190499999998</v>
          </cell>
        </row>
        <row r="683">
          <cell r="B683" t="str">
            <v>Vignesh</v>
          </cell>
          <cell r="C683" t="str">
            <v>Male</v>
          </cell>
          <cell r="I683" t="str">
            <v>16/5/1990</v>
          </cell>
          <cell r="J683" t="str">
            <v>05:16:04 PM</v>
          </cell>
          <cell r="L683">
            <v>5.5</v>
          </cell>
          <cell r="M683">
            <v>11.664325</v>
          </cell>
          <cell r="N683">
            <v>78.146014199999996</v>
          </cell>
        </row>
        <row r="684">
          <cell r="B684" t="str">
            <v>Vignesh</v>
          </cell>
          <cell r="C684" t="str">
            <v>Male</v>
          </cell>
          <cell r="I684" t="str">
            <v>5/8/1989</v>
          </cell>
          <cell r="J684" t="str">
            <v>10:40:00 AM</v>
          </cell>
          <cell r="L684">
            <v>5.5</v>
          </cell>
          <cell r="M684">
            <v>11.101770500000001</v>
          </cell>
          <cell r="N684">
            <v>79.652568599999995</v>
          </cell>
        </row>
        <row r="685">
          <cell r="B685" t="str">
            <v>Vignesh</v>
          </cell>
          <cell r="C685" t="str">
            <v>Male</v>
          </cell>
          <cell r="I685" t="str">
            <v>18/4/1995</v>
          </cell>
          <cell r="J685" t="str">
            <v>12:12:00 PM</v>
          </cell>
          <cell r="L685">
            <v>5.5</v>
          </cell>
          <cell r="M685">
            <v>10.073539999999999</v>
          </cell>
          <cell r="N685">
            <v>78.773197999999994</v>
          </cell>
        </row>
        <row r="686">
          <cell r="B686" t="str">
            <v>Vignesh</v>
          </cell>
          <cell r="C686" t="str">
            <v>Male</v>
          </cell>
          <cell r="I686" t="str">
            <v>12/6/1991</v>
          </cell>
          <cell r="J686" t="str">
            <v>10:50:00 PM</v>
          </cell>
          <cell r="L686">
            <v>5.5</v>
          </cell>
          <cell r="M686">
            <v>13.0826802</v>
          </cell>
          <cell r="N686">
            <v>80.270718400000007</v>
          </cell>
        </row>
        <row r="687">
          <cell r="B687" t="str">
            <v>Vignesh Adikesavan</v>
          </cell>
          <cell r="C687" t="str">
            <v>Male</v>
          </cell>
          <cell r="I687" t="str">
            <v>18/5/1987</v>
          </cell>
          <cell r="J687" t="str">
            <v>12:50:00 AM</v>
          </cell>
          <cell r="L687">
            <v>5.5</v>
          </cell>
          <cell r="M687">
            <v>11.8037584</v>
          </cell>
          <cell r="N687">
            <v>77.807421399999996</v>
          </cell>
        </row>
        <row r="688">
          <cell r="B688" t="str">
            <v>Vignesh Dr</v>
          </cell>
          <cell r="C688" t="str">
            <v>Male</v>
          </cell>
          <cell r="I688" t="str">
            <v>30/11/1991</v>
          </cell>
          <cell r="J688" t="str">
            <v>08:42:00 AM</v>
          </cell>
          <cell r="L688">
            <v>5.5</v>
          </cell>
          <cell r="M688">
            <v>13.0826802</v>
          </cell>
          <cell r="N688">
            <v>80.270718400000007</v>
          </cell>
        </row>
        <row r="689">
          <cell r="B689" t="str">
            <v>Vignesh Kannan</v>
          </cell>
          <cell r="C689" t="str">
            <v>Male</v>
          </cell>
          <cell r="I689" t="str">
            <v>21/7/1993</v>
          </cell>
          <cell r="J689" t="str">
            <v>10:25:00 AM</v>
          </cell>
          <cell r="L689">
            <v>5.5</v>
          </cell>
          <cell r="M689">
            <v>13.0826802</v>
          </cell>
          <cell r="N689">
            <v>80.270718400000007</v>
          </cell>
        </row>
        <row r="690">
          <cell r="B690" t="str">
            <v>Vigneshwaran</v>
          </cell>
          <cell r="C690" t="str">
            <v>Male</v>
          </cell>
          <cell r="I690" t="str">
            <v>26/10/1991</v>
          </cell>
          <cell r="J690" t="str">
            <v>08:05:00 AM</v>
          </cell>
          <cell r="L690">
            <v>5.5</v>
          </cell>
          <cell r="M690">
            <v>13.0826802</v>
          </cell>
          <cell r="N690">
            <v>80.270718400000007</v>
          </cell>
        </row>
        <row r="691">
          <cell r="B691" t="str">
            <v>Vijai</v>
          </cell>
          <cell r="C691" t="str">
            <v>Male</v>
          </cell>
          <cell r="I691" t="str">
            <v>4/2/1992</v>
          </cell>
          <cell r="J691" t="str">
            <v>12:25:00 AM</v>
          </cell>
          <cell r="L691">
            <v>5.5</v>
          </cell>
          <cell r="M691">
            <v>13.0826802</v>
          </cell>
          <cell r="N691">
            <v>80.270718400000007</v>
          </cell>
        </row>
        <row r="692">
          <cell r="B692" t="str">
            <v>Vijayalakshmi Ganpat</v>
          </cell>
          <cell r="C692" t="str">
            <v>Female</v>
          </cell>
          <cell r="I692" t="str">
            <v>2/1/1966</v>
          </cell>
          <cell r="J692" t="str">
            <v>04:14:35 PM</v>
          </cell>
          <cell r="L692">
            <v>5.5</v>
          </cell>
          <cell r="M692">
            <v>12.951611</v>
          </cell>
          <cell r="N692">
            <v>80.146166300000004</v>
          </cell>
        </row>
        <row r="693">
          <cell r="B693" t="str">
            <v>VIJAYALAKSHMI</v>
          </cell>
          <cell r="C693" t="str">
            <v>Female</v>
          </cell>
          <cell r="I693" t="str">
            <v>13/6/1973</v>
          </cell>
          <cell r="J693" t="str">
            <v>02:27:00 AM</v>
          </cell>
          <cell r="L693">
            <v>5.5</v>
          </cell>
          <cell r="M693">
            <v>12.916516700000001</v>
          </cell>
          <cell r="N693">
            <v>79.132498600000005</v>
          </cell>
        </row>
        <row r="694">
          <cell r="B694" t="str">
            <v>Vijayalakshmi</v>
          </cell>
          <cell r="C694" t="str">
            <v>Female</v>
          </cell>
          <cell r="I694" t="str">
            <v>15/9/1988</v>
          </cell>
          <cell r="J694" t="str">
            <v>07:01:20 PM</v>
          </cell>
          <cell r="L694">
            <v>5.5</v>
          </cell>
          <cell r="M694">
            <v>11.664325</v>
          </cell>
          <cell r="N694">
            <v>78.146014199999996</v>
          </cell>
        </row>
        <row r="695">
          <cell r="B695" t="str">
            <v>Vijayalakshmi Viswanathan</v>
          </cell>
          <cell r="C695" t="str">
            <v>Female</v>
          </cell>
          <cell r="I695" t="str">
            <v>21/5/1956</v>
          </cell>
          <cell r="J695" t="str">
            <v>07:21:05 AM</v>
          </cell>
          <cell r="L695">
            <v>5.5</v>
          </cell>
          <cell r="M695">
            <v>19.075983699999998</v>
          </cell>
          <cell r="N695">
            <v>72.877655899999993</v>
          </cell>
        </row>
        <row r="696">
          <cell r="B696" t="str">
            <v>Vijayaraghavan KS</v>
          </cell>
          <cell r="C696" t="str">
            <v>Male</v>
          </cell>
          <cell r="I696" t="str">
            <v>27/2/1977</v>
          </cell>
          <cell r="J696" t="str">
            <v>09:14:00 AM</v>
          </cell>
          <cell r="L696">
            <v>5.5</v>
          </cell>
          <cell r="M696">
            <v>10.7904833</v>
          </cell>
          <cell r="N696">
            <v>78.704672500000001</v>
          </cell>
        </row>
        <row r="697">
          <cell r="B697" t="str">
            <v>Vijey Aditya</v>
          </cell>
          <cell r="C697" t="str">
            <v>Male</v>
          </cell>
          <cell r="I697" t="str">
            <v>31/10/2015</v>
          </cell>
          <cell r="J697" t="str">
            <v>03:55:00 PM</v>
          </cell>
          <cell r="L697">
            <v>5.5</v>
          </cell>
          <cell r="M697">
            <v>12.740912700000001</v>
          </cell>
          <cell r="N697">
            <v>77.825292300000001</v>
          </cell>
        </row>
        <row r="698">
          <cell r="B698" t="str">
            <v>Vikram Aditya</v>
          </cell>
          <cell r="C698" t="str">
            <v>Male</v>
          </cell>
          <cell r="I698" t="str">
            <v>30/9/2017</v>
          </cell>
          <cell r="J698" t="str">
            <v>12:54:00 PM</v>
          </cell>
          <cell r="L698">
            <v>5.5</v>
          </cell>
          <cell r="M698">
            <v>12.740912700000001</v>
          </cell>
          <cell r="N698">
            <v>77.825292300000001</v>
          </cell>
        </row>
        <row r="699">
          <cell r="B699" t="str">
            <v>Vikram Vignaraja</v>
          </cell>
          <cell r="C699" t="str">
            <v>Male</v>
          </cell>
          <cell r="I699" t="str">
            <v>25/2/1994</v>
          </cell>
          <cell r="J699" t="str">
            <v>07:59:00 PM</v>
          </cell>
          <cell r="L699">
            <v>5.5</v>
          </cell>
          <cell r="M699">
            <v>10.9601852</v>
          </cell>
          <cell r="N699">
            <v>79.384497600000003</v>
          </cell>
        </row>
        <row r="700">
          <cell r="B700" t="str">
            <v>Vikramanathan</v>
          </cell>
          <cell r="C700" t="str">
            <v>Male</v>
          </cell>
          <cell r="I700" t="str">
            <v>19/9/2011</v>
          </cell>
          <cell r="J700" t="str">
            <v>01:13:00 PM</v>
          </cell>
          <cell r="L700">
            <v>5.5</v>
          </cell>
          <cell r="M700">
            <v>10.850266100000001</v>
          </cell>
          <cell r="N700">
            <v>78.699769900000007</v>
          </cell>
        </row>
        <row r="701">
          <cell r="B701" t="str">
            <v>Vikrant Vyas Bheemasekhar</v>
          </cell>
          <cell r="C701" t="str">
            <v>Male</v>
          </cell>
          <cell r="I701" t="str">
            <v>23/8/2022</v>
          </cell>
          <cell r="J701" t="str">
            <v>04:39:00 AM</v>
          </cell>
          <cell r="L701">
            <v>-7</v>
          </cell>
          <cell r="M701">
            <v>37.910078300000002</v>
          </cell>
          <cell r="N701">
            <v>-122.0651819</v>
          </cell>
        </row>
        <row r="702">
          <cell r="B702" t="str">
            <v>Vimala</v>
          </cell>
          <cell r="C702" t="str">
            <v>Female</v>
          </cell>
          <cell r="I702" t="str">
            <v>19/9/1993</v>
          </cell>
          <cell r="J702" t="str">
            <v>07:48:50 AM</v>
          </cell>
          <cell r="L702">
            <v>5.5</v>
          </cell>
          <cell r="M702">
            <v>12.740912700000001</v>
          </cell>
          <cell r="N702">
            <v>77.825292300000001</v>
          </cell>
        </row>
        <row r="703">
          <cell r="B703" t="str">
            <v>Vinishika  RH</v>
          </cell>
          <cell r="C703" t="str">
            <v>Male</v>
          </cell>
          <cell r="I703" t="str">
            <v>20/2/1994</v>
          </cell>
          <cell r="J703" t="str">
            <v>01:05:00 PM</v>
          </cell>
          <cell r="L703">
            <v>5.5</v>
          </cell>
          <cell r="M703">
            <v>12.1210997</v>
          </cell>
          <cell r="N703">
            <v>78.158214299999997</v>
          </cell>
        </row>
        <row r="704">
          <cell r="B704" t="str">
            <v>Vinod Raju</v>
          </cell>
          <cell r="C704" t="str">
            <v>Male</v>
          </cell>
          <cell r="I704" t="str">
            <v>9/5/1983</v>
          </cell>
          <cell r="J704" t="str">
            <v>05:00:00 PM</v>
          </cell>
          <cell r="L704">
            <v>5.5</v>
          </cell>
          <cell r="M704">
            <v>13.0826802</v>
          </cell>
          <cell r="N704">
            <v>80.270718400000007</v>
          </cell>
        </row>
        <row r="705">
          <cell r="B705" t="str">
            <v>Vish Dr</v>
          </cell>
          <cell r="C705" t="str">
            <v>Male</v>
          </cell>
          <cell r="I705" t="str">
            <v>18/9/1994</v>
          </cell>
          <cell r="J705" t="str">
            <v>02:06:00 AM</v>
          </cell>
          <cell r="L705">
            <v>5.5</v>
          </cell>
          <cell r="M705">
            <v>11.941591499999999</v>
          </cell>
          <cell r="N705">
            <v>79.808313299999995</v>
          </cell>
        </row>
        <row r="706">
          <cell r="B706" t="str">
            <v>Vishal</v>
          </cell>
          <cell r="C706" t="str">
            <v>Male</v>
          </cell>
          <cell r="I706" t="str">
            <v>21/9/1989</v>
          </cell>
          <cell r="J706" t="str">
            <v>10:45:00 AM</v>
          </cell>
          <cell r="L706">
            <v>5.5</v>
          </cell>
          <cell r="M706">
            <v>12.916516700000001</v>
          </cell>
          <cell r="N706">
            <v>79.132498600000005</v>
          </cell>
        </row>
        <row r="707">
          <cell r="B707" t="str">
            <v>Vishnu</v>
          </cell>
          <cell r="C707" t="str">
            <v>Male</v>
          </cell>
          <cell r="I707" t="str">
            <v>2/2/1994</v>
          </cell>
          <cell r="J707" t="str">
            <v>08:28:00 AM</v>
          </cell>
          <cell r="L707">
            <v>5.5</v>
          </cell>
          <cell r="M707">
            <v>11.101770500000001</v>
          </cell>
          <cell r="N707">
            <v>79.652568599999995</v>
          </cell>
        </row>
        <row r="708">
          <cell r="B708" t="str">
            <v>Vishnu</v>
          </cell>
          <cell r="C708" t="str">
            <v>Male</v>
          </cell>
          <cell r="I708" t="str">
            <v>3/12/1990</v>
          </cell>
          <cell r="J708" t="str">
            <v>08:00:00 AM</v>
          </cell>
          <cell r="L708">
            <v>5.5</v>
          </cell>
          <cell r="M708">
            <v>9.9312328000000001</v>
          </cell>
          <cell r="N708">
            <v>76.267304100000004</v>
          </cell>
        </row>
        <row r="709">
          <cell r="B709" t="str">
            <v>Vishnupriya</v>
          </cell>
          <cell r="C709" t="str">
            <v>Female</v>
          </cell>
          <cell r="I709" t="str">
            <v>3/3/1994</v>
          </cell>
          <cell r="J709" t="str">
            <v>12:06:00 PM</v>
          </cell>
          <cell r="L709">
            <v>5.5</v>
          </cell>
          <cell r="M709">
            <v>10.660892499999999</v>
          </cell>
          <cell r="N709">
            <v>77.004759000000007</v>
          </cell>
        </row>
        <row r="710">
          <cell r="B710" t="str">
            <v>VISHWAS MJ</v>
          </cell>
          <cell r="C710" t="str">
            <v>Male</v>
          </cell>
          <cell r="I710" t="str">
            <v>27/10/1996</v>
          </cell>
          <cell r="J710" t="str">
            <v>10:20:00 AM</v>
          </cell>
          <cell r="L710">
            <v>5.5</v>
          </cell>
          <cell r="M710">
            <v>12.295810400000001</v>
          </cell>
          <cell r="N710">
            <v>76.639380500000001</v>
          </cell>
        </row>
        <row r="711">
          <cell r="B711" t="str">
            <v>Viswanathan N</v>
          </cell>
          <cell r="C711" t="str">
            <v>Male</v>
          </cell>
          <cell r="I711" t="str">
            <v>21/8/1988</v>
          </cell>
          <cell r="J711" t="str">
            <v>01:15:00 PM</v>
          </cell>
          <cell r="L711">
            <v>5.5</v>
          </cell>
          <cell r="M711">
            <v>12.971598699999999</v>
          </cell>
          <cell r="N711">
            <v>77.594562699999997</v>
          </cell>
        </row>
        <row r="712">
          <cell r="B712" t="str">
            <v>Viswanathan VS</v>
          </cell>
          <cell r="C712" t="str">
            <v>Male</v>
          </cell>
          <cell r="I712" t="str">
            <v>21/9/1948</v>
          </cell>
          <cell r="J712" t="str">
            <v>02:15:00 AM</v>
          </cell>
          <cell r="L712">
            <v>5.5</v>
          </cell>
          <cell r="M712">
            <v>10.7904833</v>
          </cell>
          <cell r="N712">
            <v>78.704672500000001</v>
          </cell>
        </row>
        <row r="713">
          <cell r="B713" t="str">
            <v>Visweswaran</v>
          </cell>
          <cell r="C713" t="str">
            <v>Male</v>
          </cell>
          <cell r="I713" t="str">
            <v>18/8/1985</v>
          </cell>
          <cell r="J713" t="str">
            <v>08:15:00 AM</v>
          </cell>
          <cell r="L713">
            <v>5.5</v>
          </cell>
          <cell r="M713">
            <v>11.941591499999999</v>
          </cell>
          <cell r="N713">
            <v>79.808313299999995</v>
          </cell>
        </row>
        <row r="714">
          <cell r="B714" t="str">
            <v>VIVEK</v>
          </cell>
          <cell r="C714" t="str">
            <v>Male</v>
          </cell>
          <cell r="I714" t="str">
            <v>27/4/1992</v>
          </cell>
          <cell r="J714" t="str">
            <v>05:43:00 PM</v>
          </cell>
          <cell r="L714">
            <v>5.5</v>
          </cell>
          <cell r="M714">
            <v>12.971598699999999</v>
          </cell>
          <cell r="N714">
            <v>77.594562699999997</v>
          </cell>
        </row>
        <row r="715">
          <cell r="B715" t="str">
            <v>VS</v>
          </cell>
          <cell r="C715" t="str">
            <v>Male</v>
          </cell>
          <cell r="I715" t="str">
            <v>16/10/1963</v>
          </cell>
          <cell r="J715">
            <v>0.64027777777777783</v>
          </cell>
          <cell r="L715">
            <v>5.5</v>
          </cell>
          <cell r="M715">
            <v>13.866666666666667</v>
          </cell>
          <cell r="N715">
            <v>75.716666666666669</v>
          </cell>
        </row>
        <row r="716">
          <cell r="B716" t="str">
            <v>xxx</v>
          </cell>
          <cell r="C716" t="str">
            <v>Male</v>
          </cell>
          <cell r="I716" t="str">
            <v>30/12/1992</v>
          </cell>
          <cell r="J716" t="str">
            <v>05:15:00 AM</v>
          </cell>
          <cell r="L716">
            <v>5.5</v>
          </cell>
          <cell r="M716">
            <v>13.0826802</v>
          </cell>
          <cell r="N716">
            <v>80.270718400000007</v>
          </cell>
        </row>
        <row r="717">
          <cell r="B717" t="str">
            <v>Yeshwanth MR</v>
          </cell>
          <cell r="C717" t="str">
            <v>Male</v>
          </cell>
          <cell r="I717" t="str">
            <v>3/7/2001</v>
          </cell>
          <cell r="J717" t="str">
            <v>04:22:30 PM</v>
          </cell>
          <cell r="L717">
            <v>5.5</v>
          </cell>
          <cell r="M717">
            <v>11.664325</v>
          </cell>
          <cell r="N717">
            <v>78.146014199999996</v>
          </cell>
        </row>
        <row r="718">
          <cell r="B718" t="str">
            <v>Yogesh</v>
          </cell>
          <cell r="C718" t="str">
            <v>Male</v>
          </cell>
          <cell r="I718" t="str">
            <v>16/7/1980</v>
          </cell>
          <cell r="J718" t="str">
            <v>11:50:00 PM</v>
          </cell>
          <cell r="L718">
            <v>5.5</v>
          </cell>
          <cell r="M718">
            <v>13.114339299999999</v>
          </cell>
          <cell r="N718">
            <v>80.154784399999997</v>
          </cell>
        </row>
        <row r="719">
          <cell r="B719" t="str">
            <v>YouTube-Vennila-Paguthi49</v>
          </cell>
          <cell r="C719" t="str">
            <v>Male</v>
          </cell>
          <cell r="I719" t="str">
            <v>24/10/1958</v>
          </cell>
          <cell r="J719" t="str">
            <v>11:00:35 AM</v>
          </cell>
          <cell r="L719">
            <v>5.5</v>
          </cell>
          <cell r="M719">
            <v>8.1009466999999997</v>
          </cell>
          <cell r="N719">
            <v>77.536169000000001</v>
          </cell>
        </row>
        <row r="720">
          <cell r="B720" t="str">
            <v>Yuvaraj Singh</v>
          </cell>
          <cell r="C720" t="str">
            <v>Male</v>
          </cell>
          <cell r="I720" t="str">
            <v>12/12/1981</v>
          </cell>
          <cell r="J720" t="str">
            <v>12:00:00 PM</v>
          </cell>
          <cell r="L720">
            <v>5.5</v>
          </cell>
          <cell r="M720">
            <v>30.7285106</v>
          </cell>
          <cell r="N720">
            <v>76.892272899999995</v>
          </cell>
        </row>
        <row r="721">
          <cell r="B721" t="str">
            <v>Yuvaraj()</v>
          </cell>
          <cell r="C721" t="str">
            <v>Male</v>
          </cell>
          <cell r="I721" t="str">
            <v>20/9/1992</v>
          </cell>
          <cell r="J721" t="str">
            <v>05:01:05 PM</v>
          </cell>
          <cell r="L721">
            <v>5.5</v>
          </cell>
          <cell r="M721">
            <v>13.1067448</v>
          </cell>
          <cell r="N721">
            <v>80.096951099999998</v>
          </cell>
        </row>
        <row r="722">
          <cell r="B722" t="str">
            <v>Queen Victoria</v>
          </cell>
          <cell r="C722" t="str">
            <v>Female</v>
          </cell>
          <cell r="I722" t="str">
            <v>24/5/1819</v>
          </cell>
          <cell r="J722">
            <v>0.17708333333333334</v>
          </cell>
          <cell r="L722">
            <v>7.7777777777777776E-3</v>
          </cell>
          <cell r="M722">
            <v>51.5</v>
          </cell>
          <cell r="N722">
            <v>-0.116666666666667</v>
          </cell>
        </row>
        <row r="723">
          <cell r="B723" t="str">
            <v>Hirohito, Emperor</v>
          </cell>
          <cell r="C723" t="str">
            <v>Male</v>
          </cell>
          <cell r="I723" t="str">
            <v>29/4/1901</v>
          </cell>
          <cell r="J723">
            <v>0.92361111111111116</v>
          </cell>
          <cell r="L723">
            <v>9</v>
          </cell>
          <cell r="M723">
            <v>35.68333333333333</v>
          </cell>
          <cell r="N723">
            <v>139.75</v>
          </cell>
        </row>
        <row r="724">
          <cell r="B724" t="str">
            <v>George Bush</v>
          </cell>
          <cell r="C724" t="str">
            <v>Male</v>
          </cell>
          <cell r="I724" t="str">
            <v>6/7/1946</v>
          </cell>
          <cell r="J724">
            <v>0.30972222222222223</v>
          </cell>
          <cell r="L724">
            <v>-4</v>
          </cell>
          <cell r="M724">
            <v>41.3</v>
          </cell>
          <cell r="N724">
            <v>-72.933333333333337</v>
          </cell>
        </row>
        <row r="725">
          <cell r="B725" t="str">
            <v>Richard Nixon</v>
          </cell>
          <cell r="C725" t="str">
            <v>Male</v>
          </cell>
          <cell r="I725" t="str">
            <v>9/1/1913</v>
          </cell>
          <cell r="J725">
            <v>0.88541666666666663</v>
          </cell>
          <cell r="L725">
            <v>-8</v>
          </cell>
          <cell r="M725">
            <v>33.883333333333333</v>
          </cell>
          <cell r="N725">
            <v>-117.8</v>
          </cell>
        </row>
        <row r="726">
          <cell r="B726" t="str">
            <v>Nelson Mandela</v>
          </cell>
          <cell r="C726" t="str">
            <v>Male</v>
          </cell>
          <cell r="I726" t="str">
            <v>18/7/1918</v>
          </cell>
          <cell r="J726">
            <v>0.53749999999999998</v>
          </cell>
          <cell r="L726">
            <v>2</v>
          </cell>
          <cell r="M726">
            <v>-31.95</v>
          </cell>
          <cell r="N726">
            <v>28.516666666666666</v>
          </cell>
        </row>
        <row r="727">
          <cell r="B727" t="str">
            <v>Mikhail Gorbachev</v>
          </cell>
          <cell r="C727" t="str">
            <v>Male</v>
          </cell>
          <cell r="I727" t="str">
            <v>2/3/1931</v>
          </cell>
          <cell r="J727">
            <v>0.85416666666666663</v>
          </cell>
          <cell r="L727">
            <v>3</v>
          </cell>
          <cell r="M727">
            <v>45.916666666666664</v>
          </cell>
          <cell r="N727">
            <v>41.3</v>
          </cell>
        </row>
        <row r="728">
          <cell r="B728" t="str">
            <v>Queen Elizabeth</v>
          </cell>
          <cell r="C728" t="str">
            <v>Female</v>
          </cell>
          <cell r="I728" t="str">
            <v>21/4/1926</v>
          </cell>
          <cell r="J728">
            <v>6.9965277777777779E-2</v>
          </cell>
          <cell r="L728">
            <v>1</v>
          </cell>
          <cell r="M728">
            <v>51.5</v>
          </cell>
          <cell r="N728">
            <v>-0.11666666666666667</v>
          </cell>
        </row>
        <row r="729">
          <cell r="B729" t="str">
            <v>Jamshedji Tata</v>
          </cell>
          <cell r="C729" t="str">
            <v>Male</v>
          </cell>
          <cell r="I729" t="str">
            <v>3/3/1839</v>
          </cell>
          <cell r="J729">
            <v>0.63055555555555554</v>
          </cell>
          <cell r="L729">
            <v>5.5</v>
          </cell>
          <cell r="M729">
            <v>20.85</v>
          </cell>
          <cell r="N729">
            <v>72.933333333333337</v>
          </cell>
        </row>
        <row r="730">
          <cell r="B730" t="str">
            <v>Andrew Carnegie</v>
          </cell>
          <cell r="C730" t="str">
            <v>Male</v>
          </cell>
          <cell r="I730" t="str">
            <v>25/11/1835</v>
          </cell>
          <cell r="J730">
            <v>0.25</v>
          </cell>
          <cell r="L730">
            <v>0.23111111111111113</v>
          </cell>
          <cell r="M730">
            <v>56.083333333333336</v>
          </cell>
          <cell r="N730">
            <v>-3.4666666666666668</v>
          </cell>
        </row>
        <row r="731">
          <cell r="B731" t="str">
            <v>Goenka R.N</v>
          </cell>
          <cell r="C731" t="str">
            <v>Male</v>
          </cell>
          <cell r="I731" t="str">
            <v>22/4/1904</v>
          </cell>
          <cell r="J731">
            <v>0.25347222222222221</v>
          </cell>
          <cell r="L731">
            <v>5.5</v>
          </cell>
          <cell r="M731">
            <v>26.166666666666668</v>
          </cell>
          <cell r="N731">
            <v>85.9</v>
          </cell>
        </row>
        <row r="732">
          <cell r="B732" t="str">
            <v>Aravind Mafatlal</v>
          </cell>
          <cell r="C732" t="str">
            <v>Male</v>
          </cell>
          <cell r="I732" t="str">
            <v>27/10/1923</v>
          </cell>
          <cell r="J732">
            <v>0.70833333333333337</v>
          </cell>
          <cell r="L732">
            <v>5.5</v>
          </cell>
          <cell r="M732">
            <v>18.966666666666665</v>
          </cell>
          <cell r="N732">
            <v>72.833333333333329</v>
          </cell>
        </row>
        <row r="733">
          <cell r="B733" t="str">
            <v>Jothy</v>
          </cell>
          <cell r="C733" t="str">
            <v>Female</v>
          </cell>
          <cell r="I733" t="str">
            <v>9/5/1982</v>
          </cell>
          <cell r="J733">
            <v>0.26393518518518516</v>
          </cell>
          <cell r="L733">
            <v>5.5</v>
          </cell>
          <cell r="M733">
            <v>12.716666666666667</v>
          </cell>
          <cell r="N733">
            <v>77.816666666666663</v>
          </cell>
        </row>
        <row r="734">
          <cell r="B734" t="str">
            <v>Tony Blair</v>
          </cell>
          <cell r="C734" t="str">
            <v>Male</v>
          </cell>
          <cell r="I734" t="str">
            <v>6/5/1953</v>
          </cell>
          <cell r="J734">
            <v>0.25694444444444448</v>
          </cell>
          <cell r="L734">
            <v>1</v>
          </cell>
          <cell r="M734">
            <v>55.95</v>
          </cell>
          <cell r="N734">
            <v>-3.2</v>
          </cell>
        </row>
        <row r="735">
          <cell r="B735" t="str">
            <v>SadhuPaddhatip51Chart</v>
          </cell>
          <cell r="C735" t="str">
            <v>Male</v>
          </cell>
          <cell r="I735" t="str">
            <v>9/7/1838</v>
          </cell>
          <cell r="J735">
            <v>4.1666666666666664E-2</v>
          </cell>
          <cell r="L735">
            <v>5.5</v>
          </cell>
          <cell r="M735">
            <v>22.566666666666666</v>
          </cell>
          <cell r="N735">
            <v>88.36666666666666</v>
          </cell>
        </row>
        <row r="736">
          <cell r="B736"/>
          <cell r="C736"/>
          <cell r="I736" t="str">
            <v>//</v>
          </cell>
          <cell r="L736"/>
          <cell r="M736"/>
          <cell r="N736"/>
        </row>
        <row r="737">
          <cell r="B737"/>
          <cell r="C737"/>
          <cell r="I737" t="str">
            <v>//</v>
          </cell>
          <cell r="L737"/>
          <cell r="M737"/>
          <cell r="N737"/>
        </row>
        <row r="738">
          <cell r="B738"/>
          <cell r="C738"/>
          <cell r="I738" t="str">
            <v>//</v>
          </cell>
          <cell r="L738"/>
          <cell r="M738"/>
          <cell r="N738"/>
        </row>
        <row r="739">
          <cell r="B739"/>
          <cell r="C739"/>
          <cell r="I739" t="str">
            <v>//</v>
          </cell>
          <cell r="L739"/>
          <cell r="M739"/>
          <cell r="N739"/>
        </row>
        <row r="740">
          <cell r="B740"/>
          <cell r="C740"/>
          <cell r="I740" t="str">
            <v>//</v>
          </cell>
          <cell r="L740"/>
          <cell r="M740"/>
          <cell r="N740"/>
        </row>
        <row r="741">
          <cell r="B741" t="str">
            <v>Mithun</v>
          </cell>
          <cell r="C741" t="str">
            <v>Male</v>
          </cell>
          <cell r="I741" t="str">
            <v>16/5/1992</v>
          </cell>
          <cell r="J741">
            <v>0.4152777777777778</v>
          </cell>
          <cell r="L741">
            <v>5.5</v>
          </cell>
          <cell r="M741">
            <v>12.983333333333333</v>
          </cell>
          <cell r="N741">
            <v>77.583333333333329</v>
          </cell>
        </row>
        <row r="742">
          <cell r="B742" t="str">
            <v>Varadharasu</v>
          </cell>
          <cell r="C742" t="str">
            <v>Male</v>
          </cell>
          <cell r="I742" t="str">
            <v>23/4/1988</v>
          </cell>
          <cell r="J742">
            <v>0.52083333333333337</v>
          </cell>
          <cell r="L742">
            <v>5.5</v>
          </cell>
          <cell r="M742">
            <v>12.983333333333333</v>
          </cell>
          <cell r="N742">
            <v>77.583333333333329</v>
          </cell>
        </row>
        <row r="743">
          <cell r="B743"/>
          <cell r="C743"/>
          <cell r="I743" t="str">
            <v>//</v>
          </cell>
          <cell r="L743"/>
          <cell r="M743"/>
          <cell r="N743"/>
        </row>
        <row r="744">
          <cell r="B744"/>
          <cell r="C744"/>
          <cell r="I744" t="str">
            <v>//</v>
          </cell>
          <cell r="L744"/>
          <cell r="M744"/>
          <cell r="N744"/>
        </row>
        <row r="745">
          <cell r="B745"/>
          <cell r="C745"/>
          <cell r="I745" t="str">
            <v>//</v>
          </cell>
          <cell r="L745"/>
          <cell r="M745"/>
          <cell r="N745"/>
        </row>
        <row r="746">
          <cell r="B746"/>
          <cell r="C746"/>
          <cell r="I746" t="str">
            <v>//</v>
          </cell>
          <cell r="L746"/>
          <cell r="M746"/>
          <cell r="N746"/>
        </row>
        <row r="747">
          <cell r="B747"/>
          <cell r="C747"/>
          <cell r="I747" t="str">
            <v>//</v>
          </cell>
          <cell r="L747"/>
          <cell r="M747"/>
          <cell r="N747"/>
        </row>
        <row r="748">
          <cell r="B748"/>
          <cell r="C748"/>
          <cell r="I748" t="str">
            <v>//</v>
          </cell>
          <cell r="L748"/>
          <cell r="M748"/>
          <cell r="N748"/>
        </row>
        <row r="749">
          <cell r="B749"/>
          <cell r="C749"/>
          <cell r="I749" t="str">
            <v>//</v>
          </cell>
          <cell r="L749"/>
          <cell r="M749"/>
          <cell r="N749"/>
        </row>
        <row r="750">
          <cell r="B750"/>
          <cell r="C750"/>
          <cell r="I750" t="str">
            <v>//</v>
          </cell>
          <cell r="L750"/>
          <cell r="M750"/>
          <cell r="N750"/>
        </row>
        <row r="751">
          <cell r="B751"/>
          <cell r="C751"/>
          <cell r="I751" t="str">
            <v>//</v>
          </cell>
          <cell r="L751"/>
          <cell r="M751"/>
          <cell r="N751"/>
        </row>
        <row r="752">
          <cell r="B752"/>
          <cell r="C752"/>
          <cell r="I752" t="str">
            <v>//</v>
          </cell>
          <cell r="L752"/>
          <cell r="M752"/>
          <cell r="N752"/>
        </row>
        <row r="753">
          <cell r="B753"/>
          <cell r="C753"/>
          <cell r="I753" t="str">
            <v>//</v>
          </cell>
          <cell r="L753"/>
          <cell r="M753"/>
          <cell r="N753"/>
        </row>
        <row r="754">
          <cell r="B754"/>
          <cell r="C754"/>
          <cell r="I754" t="str">
            <v>//</v>
          </cell>
          <cell r="L754"/>
          <cell r="M754"/>
          <cell r="N754"/>
        </row>
        <row r="755">
          <cell r="B755"/>
          <cell r="C755"/>
          <cell r="I755" t="str">
            <v>//</v>
          </cell>
          <cell r="L755"/>
          <cell r="M755"/>
          <cell r="N755"/>
        </row>
        <row r="756">
          <cell r="B756"/>
          <cell r="C756"/>
          <cell r="I756" t="str">
            <v>//</v>
          </cell>
          <cell r="L756"/>
          <cell r="M756"/>
          <cell r="N756"/>
        </row>
        <row r="757">
          <cell r="B757"/>
          <cell r="C757"/>
          <cell r="I757" t="str">
            <v>//</v>
          </cell>
          <cell r="L757"/>
          <cell r="M757"/>
          <cell r="N757"/>
        </row>
        <row r="758">
          <cell r="B758"/>
          <cell r="C758"/>
          <cell r="I758" t="str">
            <v>//</v>
          </cell>
          <cell r="L758"/>
          <cell r="M758"/>
          <cell r="N758"/>
        </row>
        <row r="759">
          <cell r="B759"/>
          <cell r="C759"/>
          <cell r="I759" t="str">
            <v>//</v>
          </cell>
          <cell r="L759"/>
          <cell r="M759"/>
          <cell r="N759"/>
        </row>
        <row r="760">
          <cell r="B760"/>
          <cell r="C760"/>
          <cell r="I760" t="str">
            <v>//</v>
          </cell>
          <cell r="L760"/>
          <cell r="M760"/>
          <cell r="N760"/>
        </row>
        <row r="761">
          <cell r="B761"/>
          <cell r="C761"/>
          <cell r="I761" t="str">
            <v>//</v>
          </cell>
          <cell r="L761"/>
          <cell r="M761"/>
          <cell r="N761"/>
        </row>
        <row r="762">
          <cell r="B762" t="str">
            <v>Subhas Chandra Bose (Netaji)</v>
          </cell>
          <cell r="C762" t="str">
            <v>Male</v>
          </cell>
          <cell r="I762" t="str">
            <v>23/1/1897</v>
          </cell>
          <cell r="J762">
            <v>0.51041666666666663</v>
          </cell>
          <cell r="L762">
            <v>5.5</v>
          </cell>
          <cell r="M762">
            <v>20.5</v>
          </cell>
          <cell r="N762">
            <v>85.833333333333329</v>
          </cell>
        </row>
        <row r="763">
          <cell r="B763" t="str">
            <v>Subbulakshmi MS</v>
          </cell>
          <cell r="C763" t="str">
            <v>Female</v>
          </cell>
          <cell r="I763" t="str">
            <v>16/9/1916</v>
          </cell>
          <cell r="J763">
            <v>0.39583333333333331</v>
          </cell>
          <cell r="L763">
            <v>5.5</v>
          </cell>
          <cell r="M763">
            <v>9.9333333333333336</v>
          </cell>
          <cell r="N763">
            <v>78.11666666666666</v>
          </cell>
        </row>
        <row r="764">
          <cell r="B764" t="str">
            <v>Bharathidasan (Kanakasubburathinam)</v>
          </cell>
          <cell r="C764" t="str">
            <v>Male</v>
          </cell>
          <cell r="I764" t="str">
            <v>29/4/1891</v>
          </cell>
          <cell r="J764">
            <v>0.94791666666666663</v>
          </cell>
          <cell r="L764">
            <v>5.5</v>
          </cell>
          <cell r="M764">
            <v>11.933333333333334</v>
          </cell>
          <cell r="N764">
            <v>79.88333333333334</v>
          </cell>
        </row>
        <row r="765">
          <cell r="B765" t="str">
            <v>Godse (Nathuram Vinayak)</v>
          </cell>
          <cell r="C765" t="str">
            <v>Male</v>
          </cell>
          <cell r="I765" t="str">
            <v>19/5/1910</v>
          </cell>
          <cell r="J765">
            <v>0.35347222222222219</v>
          </cell>
          <cell r="L765">
            <v>5.5</v>
          </cell>
          <cell r="M765">
            <v>18.149999999999999</v>
          </cell>
          <cell r="N765">
            <v>74.583333333333329</v>
          </cell>
        </row>
        <row r="766">
          <cell r="B766" t="str">
            <v>Adani Gautam</v>
          </cell>
          <cell r="C766" t="str">
            <v>Male</v>
          </cell>
          <cell r="I766" t="str">
            <v>24/6/1962</v>
          </cell>
          <cell r="J766">
            <v>0.21736111111111112</v>
          </cell>
          <cell r="L766">
            <v>5.5</v>
          </cell>
          <cell r="M766">
            <v>23.033333333333335</v>
          </cell>
          <cell r="N766">
            <v>72.61666666666666</v>
          </cell>
        </row>
        <row r="767">
          <cell r="B767" t="str">
            <v>Indira Gandhi</v>
          </cell>
          <cell r="C767" t="str">
            <v>Female</v>
          </cell>
          <cell r="I767" t="str">
            <v>19/11/1917</v>
          </cell>
          <cell r="J767">
            <v>0.96597222222222223</v>
          </cell>
          <cell r="L767">
            <v>5.5</v>
          </cell>
          <cell r="M767">
            <v>26.466666666666665</v>
          </cell>
          <cell r="N767">
            <v>81.849999999999994</v>
          </cell>
        </row>
        <row r="768">
          <cell r="B768" t="str">
            <v>Lalu Prasad Yadav</v>
          </cell>
          <cell r="C768" t="str">
            <v>Male</v>
          </cell>
          <cell r="I768" t="str">
            <v>11/6/1948</v>
          </cell>
          <cell r="J768">
            <v>0.12986111111111112</v>
          </cell>
          <cell r="L768">
            <v>5.5</v>
          </cell>
          <cell r="M768">
            <v>25.45</v>
          </cell>
          <cell r="N768">
            <v>84.433333333333337</v>
          </cell>
        </row>
        <row r="769">
          <cell r="B769" t="str">
            <v>Panneerselvam O</v>
          </cell>
          <cell r="C769" t="str">
            <v>Male</v>
          </cell>
          <cell r="I769" t="str">
            <v>14/1/1951</v>
          </cell>
          <cell r="J769">
            <v>0.91973379629629637</v>
          </cell>
          <cell r="L769">
            <v>5.5</v>
          </cell>
          <cell r="M769">
            <v>10</v>
          </cell>
          <cell r="N769">
            <v>77.483333333333334</v>
          </cell>
        </row>
        <row r="770">
          <cell r="B770" t="str">
            <v>Tejaswi Surya</v>
          </cell>
          <cell r="C770" t="str">
            <v>Male</v>
          </cell>
          <cell r="I770" t="str">
            <v>16/11/1990</v>
          </cell>
          <cell r="J770">
            <v>0.67083333333333339</v>
          </cell>
          <cell r="L770">
            <v>5.5</v>
          </cell>
          <cell r="M770">
            <v>13.316666666666666</v>
          </cell>
          <cell r="N770">
            <v>75.783333333333331</v>
          </cell>
        </row>
        <row r="771">
          <cell r="B771" t="str">
            <v>Priyanka Gandhi</v>
          </cell>
          <cell r="C771" t="str">
            <v>Female</v>
          </cell>
          <cell r="I771" t="str">
            <v>12/1/1972</v>
          </cell>
          <cell r="J771">
            <v>0.71180555555555547</v>
          </cell>
          <cell r="L771">
            <v>5.5</v>
          </cell>
          <cell r="M771">
            <v>28.666666666666668</v>
          </cell>
          <cell r="N771">
            <v>77.216666666666669</v>
          </cell>
        </row>
        <row r="772">
          <cell r="B772" t="str">
            <v>Byraraju Ramalinga Raju</v>
          </cell>
          <cell r="C772" t="str">
            <v>Male</v>
          </cell>
          <cell r="I772" t="str">
            <v>16/9/1954</v>
          </cell>
          <cell r="J772">
            <v>0.47152777777777777</v>
          </cell>
          <cell r="L772">
            <v>5.5</v>
          </cell>
          <cell r="M772">
            <v>16.533333333333335</v>
          </cell>
          <cell r="N772">
            <v>81.533333333333331</v>
          </cell>
        </row>
        <row r="773">
          <cell r="B773" t="str">
            <v>Vijay Mallya</v>
          </cell>
          <cell r="C773" t="str">
            <v>Male</v>
          </cell>
          <cell r="I773" t="str">
            <v>18/12/1955</v>
          </cell>
          <cell r="J773">
            <v>0.47916666666666669</v>
          </cell>
          <cell r="L773">
            <v>5.5</v>
          </cell>
          <cell r="M773">
            <v>12.9</v>
          </cell>
          <cell r="N773">
            <v>75.033333333333331</v>
          </cell>
        </row>
        <row r="774">
          <cell r="B774" t="str">
            <v>Azim Premji</v>
          </cell>
          <cell r="C774" t="str">
            <v>Male</v>
          </cell>
          <cell r="I774" t="str">
            <v>24/7/1945</v>
          </cell>
          <cell r="J774">
            <v>0.5</v>
          </cell>
          <cell r="L774">
            <v>5.5</v>
          </cell>
          <cell r="M774">
            <v>19.075983699999998</v>
          </cell>
          <cell r="N774">
            <v>72.877655899999993</v>
          </cell>
        </row>
        <row r="775">
          <cell r="B775" t="str">
            <v>Vani Jayaram</v>
          </cell>
          <cell r="C775" t="str">
            <v>Female</v>
          </cell>
          <cell r="I775" t="str">
            <v>30/11/1945</v>
          </cell>
          <cell r="J775">
            <v>0.39583333333333331</v>
          </cell>
          <cell r="L775">
            <v>5.5</v>
          </cell>
          <cell r="M775">
            <v>12.916516700000001</v>
          </cell>
          <cell r="N775">
            <v>79.132498600000005</v>
          </cell>
        </row>
        <row r="776">
          <cell r="B776" t="str">
            <v>Janaki.S (Singer)</v>
          </cell>
          <cell r="C776" t="str">
            <v>Female</v>
          </cell>
          <cell r="I776" t="str">
            <v>23/4/1938</v>
          </cell>
          <cell r="J776">
            <v>0.16666666666666666</v>
          </cell>
          <cell r="L776">
            <v>5.5</v>
          </cell>
          <cell r="M776">
            <v>16.036830555555557</v>
          </cell>
          <cell r="N776">
            <v>80.853141666666659</v>
          </cell>
        </row>
        <row r="777">
          <cell r="B777" t="str">
            <v>TMSoundarararajan</v>
          </cell>
          <cell r="C777" t="str">
            <v>Male</v>
          </cell>
          <cell r="I777" t="str">
            <v>24/3/1922</v>
          </cell>
          <cell r="J777">
            <v>0.9375</v>
          </cell>
          <cell r="L777">
            <v>5.5</v>
          </cell>
          <cell r="M777">
            <v>9.9252006999999995</v>
          </cell>
          <cell r="N777">
            <v>78.119775399999995</v>
          </cell>
        </row>
        <row r="778">
          <cell r="B778" t="str">
            <v>MSViswanathan</v>
          </cell>
          <cell r="C778" t="str">
            <v>Male</v>
          </cell>
          <cell r="I778" t="str">
            <v>24/6/1928</v>
          </cell>
          <cell r="J778">
            <v>0.4375</v>
          </cell>
          <cell r="L778">
            <v>5.5</v>
          </cell>
          <cell r="M778">
            <v>10.7867</v>
          </cell>
          <cell r="N778">
            <v>76.654799999999994</v>
          </cell>
        </row>
        <row r="779">
          <cell r="B779" t="str">
            <v>PB Srinivas</v>
          </cell>
          <cell r="C779" t="str">
            <v>Male</v>
          </cell>
          <cell r="I779" t="str">
            <v>22/9/1930</v>
          </cell>
          <cell r="J779">
            <v>0.22916666666666666</v>
          </cell>
          <cell r="L779">
            <v>5.5</v>
          </cell>
          <cell r="M779">
            <v>16.989100000000001</v>
          </cell>
          <cell r="N779">
            <v>82.247500000000002</v>
          </cell>
        </row>
        <row r="780">
          <cell r="B780" t="str">
            <v>MGR</v>
          </cell>
          <cell r="C780" t="str">
            <v>Male</v>
          </cell>
          <cell r="I780" t="str">
            <v>17/1/1917</v>
          </cell>
          <cell r="J780">
            <v>0.20833333333333334</v>
          </cell>
          <cell r="L780">
            <v>5.5</v>
          </cell>
          <cell r="M780">
            <v>7.2906000000000004</v>
          </cell>
          <cell r="N780">
            <v>80.633700000000005</v>
          </cell>
        </row>
        <row r="781">
          <cell r="B781" t="str">
            <v>Sivaji Ganesan</v>
          </cell>
          <cell r="C781" t="str">
            <v>Male</v>
          </cell>
          <cell r="I781" t="str">
            <v>1/10/1928</v>
          </cell>
          <cell r="J781">
            <v>4.1666666666666664E-2</v>
          </cell>
          <cell r="L781">
            <v>5.5</v>
          </cell>
          <cell r="M781">
            <v>11.940099999999999</v>
          </cell>
          <cell r="N781">
            <v>79.486099999999993</v>
          </cell>
        </row>
        <row r="782">
          <cell r="B782" t="str">
            <v>Gemini Ganesan</v>
          </cell>
          <cell r="C782" t="str">
            <v>Male</v>
          </cell>
          <cell r="I782" t="str">
            <v>17/11/1919</v>
          </cell>
          <cell r="J782">
            <v>0.16666666666666666</v>
          </cell>
          <cell r="L782">
            <v>5.5</v>
          </cell>
          <cell r="M782">
            <v>10.3833</v>
          </cell>
          <cell r="N782">
            <v>78.8001</v>
          </cell>
        </row>
        <row r="783">
          <cell r="B783" t="str">
            <v>Padmini Actress</v>
          </cell>
          <cell r="C783" t="str">
            <v>Female</v>
          </cell>
          <cell r="I783" t="str">
            <v>12/6/1932</v>
          </cell>
          <cell r="J783">
            <v>0.22916666666666666</v>
          </cell>
          <cell r="L783">
            <v>5.5</v>
          </cell>
          <cell r="M783">
            <v>8.5241000000000007</v>
          </cell>
          <cell r="N783">
            <v>76.936599999999999</v>
          </cell>
        </row>
        <row r="784">
          <cell r="B784" t="str">
            <v>Balachandar K</v>
          </cell>
          <cell r="C784" t="str">
            <v>Male</v>
          </cell>
          <cell r="I784" t="str">
            <v>9/7/1930</v>
          </cell>
          <cell r="J784">
            <v>0.39583333333333331</v>
          </cell>
          <cell r="L784">
            <v>5.5</v>
          </cell>
          <cell r="M784">
            <v>10.8802</v>
          </cell>
          <cell r="N784">
            <v>79.613699999999994</v>
          </cell>
        </row>
        <row r="785">
          <cell r="B785" t="str">
            <v>Ilayaraja</v>
          </cell>
          <cell r="C785" t="str">
            <v>Male</v>
          </cell>
          <cell r="I785" t="str">
            <v>2/6/1943</v>
          </cell>
          <cell r="J785">
            <v>0.34375</v>
          </cell>
          <cell r="L785">
            <v>5.5</v>
          </cell>
          <cell r="M785">
            <v>9.8643999999999998</v>
          </cell>
          <cell r="N785">
            <v>77.2851</v>
          </cell>
        </row>
        <row r="786">
          <cell r="B786" t="str">
            <v>Rehman AR</v>
          </cell>
          <cell r="C786" t="str">
            <v>Male</v>
          </cell>
          <cell r="I786" t="str">
            <v>6/1/1967</v>
          </cell>
          <cell r="J786">
            <v>0.4236111111111111</v>
          </cell>
          <cell r="L786">
            <v>5.5</v>
          </cell>
          <cell r="M786">
            <v>13.082700000000001</v>
          </cell>
          <cell r="N786">
            <v>80.270700000000005</v>
          </cell>
        </row>
        <row r="787">
          <cell r="B787" t="str">
            <v>Kamaraj K</v>
          </cell>
          <cell r="C787" t="str">
            <v>Male</v>
          </cell>
          <cell r="I787" t="str">
            <v>15/7/1903</v>
          </cell>
          <cell r="J787">
            <v>0.78125</v>
          </cell>
          <cell r="L787">
            <v>5.5</v>
          </cell>
          <cell r="M787">
            <v>9.5679999999999996</v>
          </cell>
          <cell r="N787">
            <v>77.962400000000002</v>
          </cell>
        </row>
        <row r="788">
          <cell r="B788" t="str">
            <v>SS Rajendran</v>
          </cell>
          <cell r="C788" t="str">
            <v>Male</v>
          </cell>
          <cell r="I788" t="str">
            <v>14/1/1928</v>
          </cell>
          <cell r="J788">
            <v>0.14583333333333334</v>
          </cell>
          <cell r="L788">
            <v>5.5</v>
          </cell>
          <cell r="M788">
            <v>11.664325</v>
          </cell>
          <cell r="N788">
            <v>78.146014199999996</v>
          </cell>
        </row>
        <row r="789">
          <cell r="B789" t="str">
            <v>KB Sundarambal</v>
          </cell>
          <cell r="C789" t="str">
            <v>Female</v>
          </cell>
          <cell r="I789" t="str">
            <v>11/10/1908</v>
          </cell>
          <cell r="J789">
            <v>0.29166666666666669</v>
          </cell>
          <cell r="L789">
            <v>5.5</v>
          </cell>
          <cell r="M789">
            <v>11.078799999999999</v>
          </cell>
          <cell r="N789" t="str">
            <v> 77.8867</v>
          </cell>
        </row>
        <row r="790">
          <cell r="B790" t="str">
            <v>TR Rajakumari</v>
          </cell>
          <cell r="C790" t="str">
            <v>Female</v>
          </cell>
          <cell r="I790" t="str">
            <v>27/3/1923</v>
          </cell>
          <cell r="J790">
            <v>0.10416666666666667</v>
          </cell>
          <cell r="L790">
            <v>5.5</v>
          </cell>
          <cell r="M790">
            <v>13.082700000000001</v>
          </cell>
          <cell r="N790">
            <v>80.270700000000005</v>
          </cell>
        </row>
        <row r="791">
          <cell r="B791" t="str">
            <v>SV Ranga Rao</v>
          </cell>
          <cell r="C791" t="str">
            <v>Male</v>
          </cell>
          <cell r="I791" t="str">
            <v>3/7/1918</v>
          </cell>
          <cell r="J791">
            <v>0.20833333333333334</v>
          </cell>
          <cell r="L791">
            <v>5.5</v>
          </cell>
          <cell r="M791">
            <v>16.785</v>
          </cell>
          <cell r="N791">
            <v>80.848799999999997</v>
          </cell>
        </row>
        <row r="792">
          <cell r="B792" t="str">
            <v>Rajagopalachari C</v>
          </cell>
          <cell r="C792" t="str">
            <v>Male</v>
          </cell>
          <cell r="I792" t="str">
            <v>10/12/1878</v>
          </cell>
          <cell r="J792">
            <v>0.97916666666666663</v>
          </cell>
          <cell r="L792">
            <v>5.5</v>
          </cell>
          <cell r="M792">
            <v>12.694699999999999</v>
          </cell>
          <cell r="N792">
            <v>77.885900000000007</v>
          </cell>
        </row>
        <row r="793">
          <cell r="B793" t="str">
            <v>Annadurai CN</v>
          </cell>
          <cell r="C793" t="str">
            <v>Male</v>
          </cell>
          <cell r="I793" t="str">
            <v>15/9/1909</v>
          </cell>
          <cell r="J793">
            <v>0.33680555555555558</v>
          </cell>
          <cell r="L793">
            <v>5.5</v>
          </cell>
          <cell r="M793">
            <v>12.8185</v>
          </cell>
          <cell r="N793">
            <v>79.694699999999997</v>
          </cell>
        </row>
        <row r="794">
          <cell r="B794" t="str">
            <v>Ramarao  NT</v>
          </cell>
          <cell r="C794" t="str">
            <v>Male</v>
          </cell>
          <cell r="I794" t="str">
            <v>28/5/1923</v>
          </cell>
          <cell r="J794">
            <v>0.83194444444444438</v>
          </cell>
          <cell r="L794">
            <v>5.5</v>
          </cell>
          <cell r="M794">
            <v>16.270299999999999</v>
          </cell>
          <cell r="N794">
            <v>80.996700000000004</v>
          </cell>
        </row>
        <row r="795">
          <cell r="B795" t="str">
            <v>Chinnappa PU</v>
          </cell>
          <cell r="C795" t="str">
            <v>Male</v>
          </cell>
          <cell r="I795" t="str">
            <v>27/10/1916</v>
          </cell>
          <cell r="J795">
            <v>0.64583333333333337</v>
          </cell>
          <cell r="L795">
            <v>5.5</v>
          </cell>
          <cell r="M795">
            <v>12.9716</v>
          </cell>
          <cell r="N795">
            <v>77.5946</v>
          </cell>
        </row>
        <row r="796">
          <cell r="B796" t="str">
            <v xml:space="preserve">M.S. Swaminathan </v>
          </cell>
          <cell r="C796" t="str">
            <v>Male</v>
          </cell>
          <cell r="I796" t="str">
            <v>7/8/1925</v>
          </cell>
          <cell r="J796">
            <v>0.45833333333333331</v>
          </cell>
          <cell r="L796">
            <v>5.5</v>
          </cell>
          <cell r="M796">
            <v>10.9601852</v>
          </cell>
          <cell r="N796">
            <v>79.384497600000003</v>
          </cell>
        </row>
        <row r="797">
          <cell r="B797" t="str">
            <v xml:space="preserve">R. Venkataraman </v>
          </cell>
          <cell r="C797" t="str">
            <v>Male</v>
          </cell>
          <cell r="I797" t="str">
            <v>4/12/1910</v>
          </cell>
          <cell r="J797">
            <v>6.9444444444444447E-4</v>
          </cell>
          <cell r="L797">
            <v>5.5</v>
          </cell>
          <cell r="M797">
            <v>10.3171</v>
          </cell>
          <cell r="N797">
            <v>79.355699999999999</v>
          </cell>
        </row>
        <row r="798">
          <cell r="B798" t="str">
            <v xml:space="preserve">R.K. Narayan </v>
          </cell>
          <cell r="C798" t="str">
            <v>Male</v>
          </cell>
          <cell r="I798" t="str">
            <v>10/10/1906</v>
          </cell>
          <cell r="J798">
            <v>0.40625</v>
          </cell>
          <cell r="L798">
            <v>5.5</v>
          </cell>
          <cell r="M798">
            <v>13.082700000000001</v>
          </cell>
          <cell r="N798">
            <v>80.270700000000005</v>
          </cell>
        </row>
        <row r="799">
          <cell r="B799" t="str">
            <v>Bharathiraja</v>
          </cell>
          <cell r="C799" t="str">
            <v>Male</v>
          </cell>
          <cell r="I799" t="str">
            <v>17/7/1941</v>
          </cell>
          <cell r="J799">
            <v>0.92708333333333337</v>
          </cell>
          <cell r="L799">
            <v>5.5</v>
          </cell>
          <cell r="M799">
            <v>10.009</v>
          </cell>
          <cell r="N799">
            <v>77.488799999999998</v>
          </cell>
        </row>
        <row r="800">
          <cell r="B800" t="str">
            <v>Indira Gandhi</v>
          </cell>
          <cell r="C800" t="str">
            <v>Female</v>
          </cell>
          <cell r="I800" t="str">
            <v>19/11/1917</v>
          </cell>
          <cell r="J800">
            <v>0.96597222222222223</v>
          </cell>
          <cell r="L800">
            <v>5.5</v>
          </cell>
          <cell r="M800">
            <v>25.45</v>
          </cell>
          <cell r="N800">
            <v>81.849999999999994</v>
          </cell>
        </row>
        <row r="801">
          <cell r="B801" t="str">
            <v>Shubhangie</v>
          </cell>
          <cell r="C801" t="str">
            <v>Female</v>
          </cell>
          <cell r="I801" t="str">
            <v>3/2/2010</v>
          </cell>
          <cell r="J801">
            <v>0.43402777777777773</v>
          </cell>
          <cell r="L801">
            <v>5.5</v>
          </cell>
          <cell r="M801">
            <v>30.116666666666667</v>
          </cell>
          <cell r="N801">
            <v>78.316666666666663</v>
          </cell>
        </row>
        <row r="802">
          <cell r="B802" t="str">
            <v>Mahesh Venkat</v>
          </cell>
          <cell r="C802" t="str">
            <v>Male</v>
          </cell>
          <cell r="I802" t="str">
            <v>11/11/1970</v>
          </cell>
          <cell r="J802">
            <v>0.17916666666666667</v>
          </cell>
          <cell r="L802">
            <v>5.5</v>
          </cell>
          <cell r="M802">
            <v>13.082700000000001</v>
          </cell>
          <cell r="N802">
            <v>80.270700000000005</v>
          </cell>
        </row>
        <row r="803">
          <cell r="B803" t="str">
            <v>Sriram@arun</v>
          </cell>
          <cell r="C803" t="str">
            <v>Male</v>
          </cell>
          <cell r="I803" t="str">
            <v>23/3/1994</v>
          </cell>
          <cell r="J803">
            <v>0.42777777777777781</v>
          </cell>
          <cell r="L803">
            <v>5.5</v>
          </cell>
          <cell r="M803">
            <v>13.082700000000001</v>
          </cell>
          <cell r="N803">
            <v>80.270700000000005</v>
          </cell>
        </row>
        <row r="804">
          <cell r="B804" t="str">
            <v>Lakshmi Krishna</v>
          </cell>
          <cell r="C804" t="str">
            <v>Female</v>
          </cell>
          <cell r="I804" t="str">
            <v>1/7/1974</v>
          </cell>
          <cell r="J804">
            <v>0.99305555555555547</v>
          </cell>
          <cell r="L804">
            <v>5.5</v>
          </cell>
          <cell r="M804">
            <v>13.866666666666667</v>
          </cell>
          <cell r="N804">
            <v>75.716666666666669</v>
          </cell>
        </row>
        <row r="805">
          <cell r="B805" t="str">
            <v>Muthukaruppan</v>
          </cell>
          <cell r="C805" t="str">
            <v>Male</v>
          </cell>
          <cell r="I805" t="str">
            <v>13/9/1982</v>
          </cell>
          <cell r="J805">
            <v>0.20555555555555557</v>
          </cell>
          <cell r="L805">
            <v>5.5</v>
          </cell>
          <cell r="M805">
            <v>13.082700000000001</v>
          </cell>
          <cell r="N805">
            <v>80.270700000000005</v>
          </cell>
        </row>
      </sheetData>
    </sheetDataSet>
  </externalBook>
</externalLink>
</file>

<file path=xl/tables/table1.xml><?xml version="1.0" encoding="utf-8"?>
<table xmlns="http://schemas.openxmlformats.org/spreadsheetml/2006/main" id="2" name="Table2" displayName="Table2" ref="D3:K13" totalsRowShown="0" headerRowDxfId="9" dataDxfId="8">
  <tableColumns count="8">
    <tableColumn id="1" name="Entity" dataDxfId="7"/>
    <tableColumn id="2" name="Rasi-Number" dataDxfId="6"/>
    <tableColumn id="3" name="Navamsa _x000a_Number" dataDxfId="5"/>
    <tableColumn id="4" name="Rasi: Fire_x000a_Earth_x000a_Air_x000a_Water ?" dataDxfId="4">
      <calculatedColumnFormula>CHOOSE(IF(MOD(E4,4)=0,4,MOD(E4,4)),"F","E","A","W")</calculatedColumnFormula>
    </tableColumn>
    <tableColumn id="5" name="Navamsa count from ?_x000a_for Fire/Earth/Air/Water" dataDxfId="3">
      <calculatedColumnFormula>IF(G4="F",1,IF(G4="E",10,IF(G4="A",7,IF(G4="W",4,""))))</calculatedColumnFormula>
    </tableColumn>
    <tableColumn id="6" name="Column1" dataDxfId="2">
      <calculatedColumnFormula>IF(F4&gt;H4,F4,F4+12)</calculatedColumnFormula>
    </tableColumn>
    <tableColumn id="7" name="Number of Navamsas  within rasi" dataDxfId="1">
      <calculatedColumnFormula>MOD(I4-H4+1,12)</calculatedColumnFormula>
    </tableColumn>
    <tableColumn id="8" name="360 Degree  in rasi for a mid navamsa" dataDxfId="0">
      <calculatedColumnFormula>MOD((E4-1)*30+(J4-0.5)*(30/9),360)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OaUQK9KSe5A&amp;ab_channel=SaptarishisAstrologyMagazine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activeCell="D11" sqref="D11"/>
    </sheetView>
  </sheetViews>
  <sheetFormatPr defaultRowHeight="15" x14ac:dyDescent="0.25"/>
  <cols>
    <col min="1" max="1" width="17.42578125" bestFit="1" customWidth="1"/>
    <col min="2" max="2" width="10.5703125" bestFit="1" customWidth="1"/>
    <col min="5" max="5" width="10.28515625" bestFit="1" customWidth="1"/>
    <col min="19" max="19" width="14.140625" bestFit="1" customWidth="1"/>
    <col min="20" max="20" width="15.140625" bestFit="1" customWidth="1"/>
  </cols>
  <sheetData>
    <row r="1" spans="1:7" x14ac:dyDescent="0.25">
      <c r="B1" t="s">
        <v>31</v>
      </c>
      <c r="C1" s="10" t="s">
        <v>17</v>
      </c>
      <c r="D1" s="10" t="s">
        <v>18</v>
      </c>
      <c r="E1" s="10" t="s">
        <v>19</v>
      </c>
    </row>
    <row r="2" spans="1:7" x14ac:dyDescent="0.25">
      <c r="A2" s="12" t="s">
        <v>30</v>
      </c>
      <c r="B2" t="str">
        <f>TOB</f>
        <v>09:21:30 PM</v>
      </c>
      <c r="C2" s="13" t="str">
        <f ca="1">IFERROR(Sheet1!A11,Sheet1!#REF!)</f>
        <v>28</v>
      </c>
      <c r="D2" s="13" t="str">
        <f ca="1">IFERROR(Sheet1!C11,Sheet1!#REF!)</f>
        <v>10</v>
      </c>
      <c r="E2" s="14" t="str">
        <f ca="1">IF(Sheet1!B11&gt;1900,Sheet1!B11,Sheet1!#REF!)</f>
        <v>1955</v>
      </c>
    </row>
    <row r="4" spans="1:7" x14ac:dyDescent="0.25">
      <c r="B4" t="s">
        <v>22</v>
      </c>
      <c r="C4" t="s">
        <v>23</v>
      </c>
      <c r="D4" t="s">
        <v>21</v>
      </c>
      <c r="G4" t="s">
        <v>20</v>
      </c>
    </row>
    <row r="5" spans="1:7" x14ac:dyDescent="0.25">
      <c r="A5" t="s">
        <v>26</v>
      </c>
      <c r="B5">
        <v>50.33</v>
      </c>
      <c r="C5">
        <v>397</v>
      </c>
      <c r="D5">
        <f t="shared" ref="D5:D11" ca="1" si="0">(Precession_Rate/3600)*((Yr-Start_Year)+(261/365)+((Mn-1)*30+Dy+Dyfr)/365)</f>
        <v>21.803150959060016</v>
      </c>
      <c r="E5" t="str">
        <f t="shared" ref="E5:E11" ca="1" si="1">Convert_Degree(D5)</f>
        <v xml:space="preserve"> 21° 48' 11"</v>
      </c>
    </row>
    <row r="6" spans="1:7" x14ac:dyDescent="0.25">
      <c r="A6" t="s">
        <v>27</v>
      </c>
      <c r="B6">
        <v>50.25</v>
      </c>
      <c r="C6">
        <v>221</v>
      </c>
      <c r="D6">
        <f t="shared" ca="1" si="0"/>
        <v>24.225161315837457</v>
      </c>
      <c r="E6" t="str">
        <f t="shared" ca="1" si="1"/>
        <v xml:space="preserve"> 24° 13' 31"</v>
      </c>
    </row>
    <row r="7" spans="1:7" x14ac:dyDescent="0.25">
      <c r="A7" t="s">
        <v>29</v>
      </c>
      <c r="B7" s="15">
        <v>50.238847499999999</v>
      </c>
      <c r="C7">
        <v>292</v>
      </c>
      <c r="D7">
        <f t="shared" ca="1" si="0"/>
        <v>23.228963061720293</v>
      </c>
      <c r="E7" t="str">
        <f t="shared" ca="1" si="1"/>
        <v xml:space="preserve"> 23° 13' 44"</v>
      </c>
    </row>
    <row r="8" spans="1:7" x14ac:dyDescent="0.25">
      <c r="A8" t="s">
        <v>25</v>
      </c>
      <c r="B8">
        <v>50.238847499999999</v>
      </c>
      <c r="C8">
        <v>291</v>
      </c>
      <c r="D8">
        <f t="shared" ca="1" si="0"/>
        <v>23.24291829713696</v>
      </c>
      <c r="E8" t="str">
        <f t="shared" ca="1" si="1"/>
        <v xml:space="preserve"> 23° 14' 35"</v>
      </c>
    </row>
    <row r="9" spans="1:7" x14ac:dyDescent="0.25">
      <c r="A9" t="s">
        <v>24</v>
      </c>
      <c r="B9">
        <v>50.271900000000002</v>
      </c>
      <c r="C9">
        <v>292</v>
      </c>
      <c r="D9">
        <f t="shared" ca="1" si="0"/>
        <v>23.244245564002966</v>
      </c>
      <c r="E9" t="str">
        <f t="shared" ca="1" si="1"/>
        <v xml:space="preserve"> 23° 14' 39"</v>
      </c>
    </row>
    <row r="10" spans="1:7" x14ac:dyDescent="0.25">
      <c r="A10" t="s">
        <v>37</v>
      </c>
      <c r="D10" s="20">
        <v>0</v>
      </c>
    </row>
    <row r="11" spans="1:7" x14ac:dyDescent="0.25">
      <c r="A11" t="s">
        <v>28</v>
      </c>
      <c r="B11">
        <v>53.990600000000001</v>
      </c>
      <c r="C11">
        <v>499</v>
      </c>
      <c r="D11">
        <f t="shared" ca="1" si="0"/>
        <v>21.859203392149659</v>
      </c>
      <c r="E11" t="str">
        <f t="shared" ca="1" si="1"/>
        <v xml:space="preserve"> 21° 51' 33"</v>
      </c>
    </row>
  </sheetData>
  <sortState ref="A5:E10">
    <sortCondition ref="A5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223"/>
  <sheetViews>
    <sheetView showGridLines="0" tabSelected="1" topLeftCell="B67" zoomScaleNormal="100" workbookViewId="0">
      <selection activeCell="N72" sqref="N72"/>
    </sheetView>
  </sheetViews>
  <sheetFormatPr defaultColWidth="12.7109375" defaultRowHeight="20.100000000000001" customHeight="1" x14ac:dyDescent="0.25"/>
  <cols>
    <col min="1" max="1" width="23.85546875" customWidth="1"/>
    <col min="2" max="2" width="52" customWidth="1"/>
    <col min="3" max="3" width="23.42578125" customWidth="1"/>
    <col min="4" max="6" width="13" customWidth="1"/>
    <col min="7" max="9" width="11.42578125" customWidth="1"/>
    <col min="10" max="10" width="11.5703125" customWidth="1"/>
    <col min="11" max="11" width="11.85546875" customWidth="1"/>
    <col min="12" max="12" width="10.5703125" bestFit="1" customWidth="1"/>
    <col min="13" max="17" width="11" customWidth="1"/>
    <col min="18" max="18" width="12.28515625" bestFit="1" customWidth="1"/>
    <col min="19" max="23" width="11" customWidth="1"/>
    <col min="24" max="24" width="12.5703125" customWidth="1"/>
    <col min="25" max="25" width="12.140625" customWidth="1"/>
    <col min="26" max="29" width="13" customWidth="1"/>
    <col min="30" max="31" width="13.140625" customWidth="1"/>
    <col min="32" max="32" width="5.140625" customWidth="1"/>
  </cols>
  <sheetData>
    <row r="1" spans="1:44" s="2" customFormat="1" ht="20.100000000000001" customHeight="1" thickBot="1" x14ac:dyDescent="0.25">
      <c r="B1" s="2" t="s">
        <v>33</v>
      </c>
      <c r="C1" s="93">
        <v>87</v>
      </c>
      <c r="D1" s="92"/>
    </row>
    <row r="2" spans="1:44" s="2" customFormat="1" ht="30.75" thickBot="1" x14ac:dyDescent="0.25">
      <c r="B2" s="4" t="s">
        <v>10</v>
      </c>
      <c r="C2" s="19" t="str">
        <f>INDEX([1]DOB_Database!$B$2:$B$1001,Sheet1!C1,1)</f>
        <v>Bill Gates</v>
      </c>
      <c r="D2" s="19" t="str">
        <f>INDEX([1]DOB_Database!$C$2:$C$1001,Sheet1!C1,1)</f>
        <v>Male</v>
      </c>
      <c r="F2" s="22" t="s">
        <v>39</v>
      </c>
      <c r="G2" s="48" t="s">
        <v>9</v>
      </c>
      <c r="H2" s="48" t="s">
        <v>35</v>
      </c>
      <c r="I2" s="48" t="s">
        <v>32</v>
      </c>
      <c r="J2" s="49" t="s">
        <v>36</v>
      </c>
      <c r="K2" s="50" t="s">
        <v>60</v>
      </c>
      <c r="L2" s="48" t="s">
        <v>34</v>
      </c>
      <c r="M2" s="48" t="s">
        <v>40</v>
      </c>
      <c r="N2" s="66" t="s">
        <v>122</v>
      </c>
      <c r="P2" s="66" t="s">
        <v>64</v>
      </c>
      <c r="R2" s="168" t="s">
        <v>165</v>
      </c>
      <c r="T2" s="66" t="s">
        <v>129</v>
      </c>
      <c r="V2" s="168" t="s">
        <v>122</v>
      </c>
      <c r="W2" s="2" t="s">
        <v>198</v>
      </c>
    </row>
    <row r="3" spans="1:44" ht="20.100000000000001" customHeight="1" thickTop="1" thickBot="1" x14ac:dyDescent="0.3">
      <c r="B3" s="4" t="s">
        <v>11</v>
      </c>
      <c r="C3" s="25" t="str">
        <f>INDEX([1]DOB_Database!$I$2:$I$1001,Sheet1!C1,1)</f>
        <v>28/10/1955</v>
      </c>
      <c r="D3" s="9"/>
      <c r="E3">
        <v>1</v>
      </c>
      <c r="F3" s="51" t="s">
        <v>0</v>
      </c>
      <c r="G3" s="52">
        <v>191.66666666666666</v>
      </c>
      <c r="H3" s="53">
        <f>INT(G3/(360/27))+1</f>
        <v>15</v>
      </c>
      <c r="I3" s="53">
        <f>rasinum(Sheet1!$G3)</f>
        <v>7</v>
      </c>
      <c r="J3" s="54" t="str">
        <f>naks($G$3)</f>
        <v>Swati</v>
      </c>
      <c r="K3" s="54" t="str">
        <f>NaksPad(Sheet1!$G3)</f>
        <v>2</v>
      </c>
      <c r="L3" s="55">
        <f>MOD($G$3,30)</f>
        <v>11.666666666666657</v>
      </c>
      <c r="M3" s="55" t="str">
        <f>Convert_Degree($L$3)</f>
        <v xml:space="preserve"> 11° 39' 60"</v>
      </c>
      <c r="N3" s="56" t="str">
        <f t="shared" ref="N3:N12" si="0">VLOOKUP(L3,D9_Trd,I3+1,TRUE)</f>
        <v>Cp</v>
      </c>
      <c r="O3" t="str">
        <f>Q3</f>
        <v>Su</v>
      </c>
      <c r="P3" s="10" t="str">
        <f t="shared" ref="P3:P12" si="1">Rasi(G3)</f>
        <v>Li</v>
      </c>
      <c r="Q3" s="210" t="str">
        <f t="shared" ref="Q3:Q11" si="2">F3</f>
        <v>Su</v>
      </c>
      <c r="R3" s="24">
        <f>I3</f>
        <v>7</v>
      </c>
      <c r="S3" s="217" t="str">
        <f>Q3</f>
        <v>Su</v>
      </c>
      <c r="T3" s="209">
        <f t="shared" ref="T3:T12" si="3">MATCH(N3,$AD$5:$AO$5,0)</f>
        <v>10</v>
      </c>
      <c r="U3" s="210" t="str">
        <f t="shared" ref="U3:U12" si="4">O3</f>
        <v>Su</v>
      </c>
      <c r="V3" s="10" t="str">
        <f t="shared" ref="V3:V12" si="5">N3</f>
        <v>Cp</v>
      </c>
      <c r="W3">
        <f>INT(G3/9)+(MOD(G3,9)*3.2/60)</f>
        <v>21.142222222222223</v>
      </c>
      <c r="AQ3" s="198" t="s">
        <v>45</v>
      </c>
      <c r="AR3" t="s">
        <v>2</v>
      </c>
    </row>
    <row r="4" spans="1:44" ht="20.100000000000001" customHeight="1" thickTop="1" thickBot="1" x14ac:dyDescent="0.3">
      <c r="B4" s="8" t="s">
        <v>12</v>
      </c>
      <c r="C4" s="26" t="str">
        <f>INDEX([1]DOB_Database!$J$2:$J$1001,row)</f>
        <v>09:21:30 PM</v>
      </c>
      <c r="D4" s="28">
        <f>TIME(HOUR(TOB),MINUTE(TOB),SECOND(TOB))*24</f>
        <v>21.358333333333334</v>
      </c>
      <c r="E4">
        <v>2</v>
      </c>
      <c r="F4" s="57" t="s">
        <v>1</v>
      </c>
      <c r="G4" s="58">
        <v>345</v>
      </c>
      <c r="H4" s="59">
        <f>INT(G4/(360/27))+1</f>
        <v>26</v>
      </c>
      <c r="I4" s="59">
        <f>rasinum(Sheet1!$G4)</f>
        <v>12</v>
      </c>
      <c r="J4" s="60" t="str">
        <f>naks($G$4)</f>
        <v>Uttara Bhadrapada</v>
      </c>
      <c r="K4" s="60" t="str">
        <f>NaksPad(Sheet1!$G4)</f>
        <v>4</v>
      </c>
      <c r="L4" s="47">
        <f>MOD($G$4,30)</f>
        <v>15</v>
      </c>
      <c r="M4" s="47" t="str">
        <f>Convert_Degree($L$4)</f>
        <v xml:space="preserve"> 15° 0' 00"</v>
      </c>
      <c r="N4" s="56" t="str">
        <f t="shared" si="0"/>
        <v>Sc</v>
      </c>
      <c r="O4" t="str">
        <f t="shared" ref="O4:O12" si="6">Q4</f>
        <v>Mo</v>
      </c>
      <c r="P4" s="10" t="str">
        <f t="shared" si="1"/>
        <v>Pi</v>
      </c>
      <c r="Q4" s="210" t="str">
        <f t="shared" si="2"/>
        <v>Mo</v>
      </c>
      <c r="R4" s="24">
        <f t="shared" ref="R4:R12" si="7">I4</f>
        <v>12</v>
      </c>
      <c r="S4" s="217" t="str">
        <f t="shared" ref="S4:S12" si="8">Q4</f>
        <v>Mo</v>
      </c>
      <c r="T4" s="209">
        <f t="shared" si="3"/>
        <v>8</v>
      </c>
      <c r="U4" s="210" t="str">
        <f t="shared" si="4"/>
        <v>Mo</v>
      </c>
      <c r="V4" s="10" t="str">
        <f t="shared" si="5"/>
        <v>Sc</v>
      </c>
      <c r="W4">
        <f t="shared" ref="W4:W12" si="9">INT(G4/9)+(MOD(G4,9)*3.2/60)</f>
        <v>38.159999999999997</v>
      </c>
      <c r="AB4" s="10"/>
      <c r="AE4" s="36" t="s">
        <v>123</v>
      </c>
      <c r="AF4" s="1"/>
      <c r="AG4" s="1"/>
      <c r="AH4" s="1"/>
      <c r="AI4" s="1"/>
      <c r="AJ4" s="24"/>
      <c r="AK4" s="24"/>
      <c r="AL4" s="24"/>
      <c r="AM4" s="24"/>
      <c r="AN4" s="30"/>
      <c r="AO4" s="34"/>
      <c r="AQ4" s="198" t="s">
        <v>46</v>
      </c>
      <c r="AR4" t="s">
        <v>5</v>
      </c>
    </row>
    <row r="5" spans="1:44" ht="20.100000000000001" customHeight="1" thickTop="1" thickBot="1" x14ac:dyDescent="0.3">
      <c r="B5" s="8" t="s">
        <v>13</v>
      </c>
      <c r="C5" s="17">
        <f>INDEX([1]DOB_Database!$L$2:$L$1002,row)</f>
        <v>5.5</v>
      </c>
      <c r="D5" s="9"/>
      <c r="E5">
        <v>3</v>
      </c>
      <c r="F5" s="61" t="s">
        <v>2</v>
      </c>
      <c r="G5" s="62">
        <v>168.33333333333334</v>
      </c>
      <c r="H5" s="63">
        <f t="shared" ref="H5:H12" si="10">INT(G5/(360/27))+1</f>
        <v>13</v>
      </c>
      <c r="I5" s="63">
        <f>rasinum(Sheet1!$G5)</f>
        <v>6</v>
      </c>
      <c r="J5" s="64" t="str">
        <f>naks($G$5)</f>
        <v>Hasta</v>
      </c>
      <c r="K5" s="64" t="str">
        <f>NaksPad(Sheet1!$G5)</f>
        <v>3</v>
      </c>
      <c r="L5" s="46">
        <f>MOD($G$5,30)</f>
        <v>18.333333333333343</v>
      </c>
      <c r="M5" s="46" t="str">
        <f>Convert_Degree($L$5)</f>
        <v xml:space="preserve"> 18° 20' 00"</v>
      </c>
      <c r="N5" s="56" t="str">
        <f t="shared" si="0"/>
        <v>Ge</v>
      </c>
      <c r="O5" t="str">
        <f t="shared" si="6"/>
        <v>Ma</v>
      </c>
      <c r="P5" s="10" t="str">
        <f t="shared" si="1"/>
        <v>Vi</v>
      </c>
      <c r="Q5" s="210" t="str">
        <f t="shared" si="2"/>
        <v>Ma</v>
      </c>
      <c r="R5" s="24">
        <f t="shared" si="7"/>
        <v>6</v>
      </c>
      <c r="S5" s="217" t="str">
        <f t="shared" si="8"/>
        <v>Ma</v>
      </c>
      <c r="T5" s="209">
        <f t="shared" si="3"/>
        <v>3</v>
      </c>
      <c r="U5" s="210" t="str">
        <f t="shared" si="4"/>
        <v>Ma</v>
      </c>
      <c r="V5" s="10" t="str">
        <f t="shared" si="5"/>
        <v>Ge</v>
      </c>
      <c r="W5">
        <f t="shared" si="9"/>
        <v>18.337777777777777</v>
      </c>
      <c r="AB5" s="10" t="s">
        <v>43</v>
      </c>
      <c r="AC5" s="137" t="s">
        <v>44</v>
      </c>
      <c r="AD5" s="138" t="s">
        <v>45</v>
      </c>
      <c r="AE5" s="138" t="s">
        <v>46</v>
      </c>
      <c r="AF5" s="138" t="s">
        <v>47</v>
      </c>
      <c r="AG5" s="138" t="s">
        <v>48</v>
      </c>
      <c r="AH5" s="138" t="s">
        <v>49</v>
      </c>
      <c r="AI5" s="138" t="s">
        <v>50</v>
      </c>
      <c r="AJ5" s="138" t="s">
        <v>51</v>
      </c>
      <c r="AK5" s="138" t="s">
        <v>52</v>
      </c>
      <c r="AL5" s="138" t="s">
        <v>53</v>
      </c>
      <c r="AM5" s="138" t="s">
        <v>54</v>
      </c>
      <c r="AN5" s="138" t="s">
        <v>55</v>
      </c>
      <c r="AO5" s="138" t="s">
        <v>56</v>
      </c>
      <c r="AQ5" s="24" t="s">
        <v>47</v>
      </c>
      <c r="AR5" t="s">
        <v>3</v>
      </c>
    </row>
    <row r="6" spans="1:44" ht="20.100000000000001" customHeight="1" thickTop="1" thickBot="1" x14ac:dyDescent="0.3">
      <c r="B6" s="8" t="s">
        <v>14</v>
      </c>
      <c r="C6" s="17">
        <f>INDEX([1]DOB_Database!$M$2:$M$1003,row)</f>
        <v>47.606209499999999</v>
      </c>
      <c r="D6" s="9" t="str">
        <f>Convert_Degree(ABS(Lati)) &amp; IF(Lati&lt;0, "S","N")</f>
        <v xml:space="preserve"> 47° 36' 22"N</v>
      </c>
      <c r="E6">
        <v>4</v>
      </c>
      <c r="F6" s="57" t="s">
        <v>3</v>
      </c>
      <c r="G6" s="58">
        <v>171.66666666666666</v>
      </c>
      <c r="H6" s="59">
        <f t="shared" si="10"/>
        <v>13</v>
      </c>
      <c r="I6" s="59">
        <f>rasinum(Sheet1!$G6)</f>
        <v>6</v>
      </c>
      <c r="J6" s="60" t="str">
        <f>naks($G$6)</f>
        <v>Hasta</v>
      </c>
      <c r="K6" s="60" t="str">
        <f>NaksPad(Sheet1!$G6)</f>
        <v>4</v>
      </c>
      <c r="L6" s="47">
        <f>MOD($G$6,30)</f>
        <v>21.666666666666657</v>
      </c>
      <c r="M6" s="47" t="str">
        <f>Convert_Degree($L$6)</f>
        <v xml:space="preserve"> 21° 39' 60"</v>
      </c>
      <c r="N6" s="56" t="str">
        <f t="shared" si="0"/>
        <v>Cn</v>
      </c>
      <c r="O6" t="str">
        <f t="shared" si="6"/>
        <v>Me</v>
      </c>
      <c r="P6" s="10" t="str">
        <f t="shared" si="1"/>
        <v>Vi</v>
      </c>
      <c r="Q6" s="210" t="str">
        <f t="shared" si="2"/>
        <v>Me</v>
      </c>
      <c r="R6" s="24">
        <f t="shared" si="7"/>
        <v>6</v>
      </c>
      <c r="S6" s="217" t="str">
        <f t="shared" si="8"/>
        <v>Me</v>
      </c>
      <c r="T6" s="209">
        <f t="shared" si="3"/>
        <v>4</v>
      </c>
      <c r="U6" s="210" t="str">
        <f t="shared" si="4"/>
        <v>Me</v>
      </c>
      <c r="V6" s="10" t="str">
        <f t="shared" si="5"/>
        <v>Cn</v>
      </c>
      <c r="W6">
        <f t="shared" si="9"/>
        <v>19.035555555555554</v>
      </c>
      <c r="AB6" s="10">
        <v>1</v>
      </c>
      <c r="AC6" s="137">
        <v>0</v>
      </c>
      <c r="AD6" s="139" t="s">
        <v>45</v>
      </c>
      <c r="AE6" s="140" t="s">
        <v>54</v>
      </c>
      <c r="AF6" s="139" t="s">
        <v>51</v>
      </c>
      <c r="AG6" s="140" t="s">
        <v>48</v>
      </c>
      <c r="AH6" s="139" t="s">
        <v>45</v>
      </c>
      <c r="AI6" s="140" t="s">
        <v>54</v>
      </c>
      <c r="AJ6" s="139" t="s">
        <v>51</v>
      </c>
      <c r="AK6" s="140" t="s">
        <v>48</v>
      </c>
      <c r="AL6" s="139" t="s">
        <v>45</v>
      </c>
      <c r="AM6" s="140" t="s">
        <v>54</v>
      </c>
      <c r="AN6" s="139" t="s">
        <v>51</v>
      </c>
      <c r="AO6" s="140" t="s">
        <v>48</v>
      </c>
      <c r="AQ6" s="24" t="s">
        <v>48</v>
      </c>
      <c r="AR6" t="s">
        <v>1</v>
      </c>
    </row>
    <row r="7" spans="1:44" ht="20.100000000000001" customHeight="1" thickTop="1" thickBot="1" x14ac:dyDescent="0.3">
      <c r="B7" s="5" t="s">
        <v>15</v>
      </c>
      <c r="C7" s="17">
        <f>INDEX([1]DOB_Database!N2:N1001,row)</f>
        <v>-122.3320708</v>
      </c>
      <c r="D7" s="9" t="str">
        <f>Convert_Degree(ABS(Longi)) &amp; IF(Longi&lt;0, "W","E")</f>
        <v xml:space="preserve"> 122° 19' 55"W</v>
      </c>
      <c r="E7">
        <v>5</v>
      </c>
      <c r="F7" s="61" t="s">
        <v>4</v>
      </c>
      <c r="G7" s="62">
        <v>145</v>
      </c>
      <c r="H7" s="63">
        <f t="shared" si="10"/>
        <v>11</v>
      </c>
      <c r="I7" s="63">
        <f>rasinum(Sheet1!$G7)</f>
        <v>5</v>
      </c>
      <c r="J7" s="64" t="str">
        <f>naks($G$7)</f>
        <v>Purva Phalguni</v>
      </c>
      <c r="K7" s="64" t="str">
        <f>NaksPad(Sheet1!$G7)</f>
        <v>4</v>
      </c>
      <c r="L7" s="46">
        <f>MOD($G$7,30)</f>
        <v>25</v>
      </c>
      <c r="M7" s="46" t="str">
        <f>Convert_Degree($L$7)</f>
        <v xml:space="preserve"> 25° 0' 00"</v>
      </c>
      <c r="N7" s="56" t="str">
        <f t="shared" si="0"/>
        <v>Sc</v>
      </c>
      <c r="O7" t="str">
        <f t="shared" si="6"/>
        <v>Ju</v>
      </c>
      <c r="P7" s="10" t="str">
        <f t="shared" si="1"/>
        <v>Le</v>
      </c>
      <c r="Q7" s="210" t="str">
        <f t="shared" si="2"/>
        <v>Ju</v>
      </c>
      <c r="R7" s="24">
        <f t="shared" si="7"/>
        <v>5</v>
      </c>
      <c r="S7" s="217" t="str">
        <f t="shared" si="8"/>
        <v>Ju</v>
      </c>
      <c r="T7" s="209">
        <f t="shared" si="3"/>
        <v>8</v>
      </c>
      <c r="U7" s="210" t="str">
        <f t="shared" si="4"/>
        <v>Ju</v>
      </c>
      <c r="V7" s="10" t="str">
        <f t="shared" si="5"/>
        <v>Sc</v>
      </c>
      <c r="W7">
        <f t="shared" si="9"/>
        <v>16.053333333333335</v>
      </c>
      <c r="AB7" s="10">
        <v>2</v>
      </c>
      <c r="AC7" s="141">
        <v>3.3333333333333335</v>
      </c>
      <c r="AD7" s="142" t="s">
        <v>46</v>
      </c>
      <c r="AE7" s="140" t="s">
        <v>55</v>
      </c>
      <c r="AF7" s="142" t="s">
        <v>52</v>
      </c>
      <c r="AG7" s="140" t="s">
        <v>49</v>
      </c>
      <c r="AH7" s="142" t="s">
        <v>46</v>
      </c>
      <c r="AI7" s="140" t="s">
        <v>55</v>
      </c>
      <c r="AJ7" s="142" t="s">
        <v>52</v>
      </c>
      <c r="AK7" s="140" t="s">
        <v>49</v>
      </c>
      <c r="AL7" s="142" t="s">
        <v>46</v>
      </c>
      <c r="AM7" s="140" t="s">
        <v>55</v>
      </c>
      <c r="AN7" s="142" t="s">
        <v>52</v>
      </c>
      <c r="AO7" s="140" t="s">
        <v>49</v>
      </c>
      <c r="AQ7" s="24" t="s">
        <v>49</v>
      </c>
      <c r="AR7" t="s">
        <v>0</v>
      </c>
    </row>
    <row r="8" spans="1:44" ht="20.100000000000001" customHeight="1" thickTop="1" thickBot="1" x14ac:dyDescent="0.3">
      <c r="B8" s="6" t="s">
        <v>16</v>
      </c>
      <c r="C8" s="16">
        <f ca="1">(IF(VALUE($B$11)&lt;1900,$B$13,birthdate+TOB-TZ/24))</f>
        <v>20390.660763888889</v>
      </c>
      <c r="E8">
        <v>6</v>
      </c>
      <c r="F8" s="57" t="s">
        <v>5</v>
      </c>
      <c r="G8" s="58">
        <v>208.33333333333334</v>
      </c>
      <c r="H8" s="59">
        <f t="shared" si="10"/>
        <v>16</v>
      </c>
      <c r="I8" s="59">
        <f>rasinum(Sheet1!$G8)</f>
        <v>7</v>
      </c>
      <c r="J8" s="60" t="str">
        <f>naks($G$8)</f>
        <v>Visakha</v>
      </c>
      <c r="K8" s="60" t="str">
        <f>NaksPad(Sheet1!$G8)</f>
        <v>3</v>
      </c>
      <c r="L8" s="47">
        <f>MOD($G$8,30)</f>
        <v>28.333333333333343</v>
      </c>
      <c r="M8" s="47" t="str">
        <f>Convert_Degree($L$8)</f>
        <v xml:space="preserve"> 28° 20' 00"</v>
      </c>
      <c r="N8" s="56" t="str">
        <f t="shared" si="0"/>
        <v>Ge</v>
      </c>
      <c r="O8" t="str">
        <f t="shared" si="6"/>
        <v>Ve</v>
      </c>
      <c r="P8" s="10" t="str">
        <f t="shared" si="1"/>
        <v>Li</v>
      </c>
      <c r="Q8" s="210" t="str">
        <f t="shared" si="2"/>
        <v>Ve</v>
      </c>
      <c r="R8" s="24">
        <f t="shared" si="7"/>
        <v>7</v>
      </c>
      <c r="S8" s="217" t="str">
        <f t="shared" si="8"/>
        <v>Ve</v>
      </c>
      <c r="T8" s="209">
        <f t="shared" si="3"/>
        <v>3</v>
      </c>
      <c r="U8" s="210" t="str">
        <f t="shared" si="4"/>
        <v>Ve</v>
      </c>
      <c r="V8" s="10" t="str">
        <f t="shared" si="5"/>
        <v>Ge</v>
      </c>
      <c r="W8">
        <f t="shared" si="9"/>
        <v>23.071111111111112</v>
      </c>
      <c r="AB8" s="10">
        <v>3</v>
      </c>
      <c r="AC8" s="141">
        <v>6.666666666666667</v>
      </c>
      <c r="AD8" s="142" t="s">
        <v>47</v>
      </c>
      <c r="AE8" s="140" t="s">
        <v>56</v>
      </c>
      <c r="AF8" s="142" t="s">
        <v>53</v>
      </c>
      <c r="AG8" s="140" t="s">
        <v>50</v>
      </c>
      <c r="AH8" s="142" t="s">
        <v>47</v>
      </c>
      <c r="AI8" s="140" t="s">
        <v>56</v>
      </c>
      <c r="AJ8" s="142" t="s">
        <v>53</v>
      </c>
      <c r="AK8" s="140" t="s">
        <v>50</v>
      </c>
      <c r="AL8" s="142" t="s">
        <v>47</v>
      </c>
      <c r="AM8" s="140" t="s">
        <v>56</v>
      </c>
      <c r="AN8" s="142" t="s">
        <v>53</v>
      </c>
      <c r="AO8" s="140" t="s">
        <v>50</v>
      </c>
      <c r="AQ8" s="24" t="s">
        <v>50</v>
      </c>
      <c r="AR8" t="s">
        <v>3</v>
      </c>
    </row>
    <row r="9" spans="1:44" ht="20.100000000000001" customHeight="1" thickTop="1" thickBot="1" x14ac:dyDescent="0.3">
      <c r="B9" s="3" t="s">
        <v>29</v>
      </c>
      <c r="C9" s="7">
        <f ca="1">VLOOKUP(TRIM(B9),Ayanamsa!$A$5:$D$11,4,)</f>
        <v>23.228963061720293</v>
      </c>
      <c r="D9" t="str">
        <f ca="1">Convert_Degree(DevarajAyan)</f>
        <v xml:space="preserve"> 23° 13' 44"</v>
      </c>
      <c r="E9">
        <v>7</v>
      </c>
      <c r="F9" s="61" t="s">
        <v>6</v>
      </c>
      <c r="G9" s="62">
        <v>208.33333333333334</v>
      </c>
      <c r="H9" s="63">
        <f t="shared" si="10"/>
        <v>16</v>
      </c>
      <c r="I9" s="63">
        <f>rasinum(Sheet1!$G9)</f>
        <v>7</v>
      </c>
      <c r="J9" s="64" t="str">
        <f>naks($G$9)</f>
        <v>Visakha</v>
      </c>
      <c r="K9" s="64" t="str">
        <f>NaksPad(Sheet1!$G9)</f>
        <v>3</v>
      </c>
      <c r="L9" s="46">
        <f>MOD($G$9,30)</f>
        <v>28.333333333333343</v>
      </c>
      <c r="M9" s="46" t="str">
        <f>Convert_Degree($L$9)</f>
        <v xml:space="preserve"> 28° 20' 00"</v>
      </c>
      <c r="N9" s="56" t="str">
        <f t="shared" si="0"/>
        <v>Ge</v>
      </c>
      <c r="O9" t="str">
        <f t="shared" si="6"/>
        <v>Sa</v>
      </c>
      <c r="P9" s="10" t="str">
        <f t="shared" si="1"/>
        <v>Li</v>
      </c>
      <c r="Q9" s="210" t="str">
        <f t="shared" si="2"/>
        <v>Sa</v>
      </c>
      <c r="R9" s="24">
        <f t="shared" si="7"/>
        <v>7</v>
      </c>
      <c r="S9" s="217" t="str">
        <f t="shared" si="8"/>
        <v>Sa</v>
      </c>
      <c r="T9" s="209">
        <f t="shared" si="3"/>
        <v>3</v>
      </c>
      <c r="U9" s="210" t="str">
        <f t="shared" si="4"/>
        <v>Sa</v>
      </c>
      <c r="V9" s="10" t="str">
        <f t="shared" si="5"/>
        <v>Ge</v>
      </c>
      <c r="W9">
        <f t="shared" si="9"/>
        <v>23.071111111111112</v>
      </c>
      <c r="AB9" s="10">
        <v>4</v>
      </c>
      <c r="AC9" s="141">
        <v>10</v>
      </c>
      <c r="AD9" s="142" t="s">
        <v>48</v>
      </c>
      <c r="AE9" s="140" t="s">
        <v>45</v>
      </c>
      <c r="AF9" s="142" t="s">
        <v>54</v>
      </c>
      <c r="AG9" s="140" t="s">
        <v>51</v>
      </c>
      <c r="AH9" s="142" t="s">
        <v>48</v>
      </c>
      <c r="AI9" s="140" t="s">
        <v>45</v>
      </c>
      <c r="AJ9" s="142" t="s">
        <v>54</v>
      </c>
      <c r="AK9" s="140" t="s">
        <v>51</v>
      </c>
      <c r="AL9" s="142" t="s">
        <v>48</v>
      </c>
      <c r="AM9" s="140" t="s">
        <v>45</v>
      </c>
      <c r="AN9" s="142" t="s">
        <v>54</v>
      </c>
      <c r="AO9" s="140" t="s">
        <v>51</v>
      </c>
      <c r="AQ9" s="24" t="s">
        <v>51</v>
      </c>
      <c r="AR9" t="s">
        <v>5</v>
      </c>
    </row>
    <row r="10" spans="1:44" ht="20.100000000000001" customHeight="1" thickTop="1" thickBot="1" x14ac:dyDescent="0.3">
      <c r="B10" s="29" t="s">
        <v>38</v>
      </c>
      <c r="C10" s="16">
        <f ca="1">GMT+1</f>
        <v>20391.660763888889</v>
      </c>
      <c r="E10">
        <v>8</v>
      </c>
      <c r="F10" s="57" t="s">
        <v>7</v>
      </c>
      <c r="G10" s="58">
        <v>235</v>
      </c>
      <c r="H10" s="59">
        <f t="shared" si="10"/>
        <v>18</v>
      </c>
      <c r="I10" s="59">
        <f>rasinum(Sheet1!$G10)</f>
        <v>8</v>
      </c>
      <c r="J10" s="60" t="str">
        <f>naks($G$10)</f>
        <v>Jyestha</v>
      </c>
      <c r="K10" s="60" t="str">
        <f>NaksPad(Sheet1!$G10)</f>
        <v>3</v>
      </c>
      <c r="L10" s="47">
        <f>MOD($G$10,30)</f>
        <v>25</v>
      </c>
      <c r="M10" s="47" t="str">
        <f>Convert_Degree($L$10)</f>
        <v xml:space="preserve"> 25° 0' 00"</v>
      </c>
      <c r="N10" s="56" t="str">
        <f t="shared" si="0"/>
        <v>Aq</v>
      </c>
      <c r="O10" t="str">
        <f t="shared" si="6"/>
        <v>Ra</v>
      </c>
      <c r="P10" s="10" t="str">
        <f t="shared" si="1"/>
        <v>Sc</v>
      </c>
      <c r="Q10" s="210" t="str">
        <f t="shared" si="2"/>
        <v>Ra</v>
      </c>
      <c r="R10" s="24">
        <f t="shared" si="7"/>
        <v>8</v>
      </c>
      <c r="S10" s="217" t="str">
        <f t="shared" si="8"/>
        <v>Ra</v>
      </c>
      <c r="T10" s="209">
        <f t="shared" si="3"/>
        <v>11</v>
      </c>
      <c r="U10" s="210" t="str">
        <f t="shared" si="4"/>
        <v>Ra</v>
      </c>
      <c r="V10" s="10" t="str">
        <f t="shared" si="5"/>
        <v>Aq</v>
      </c>
      <c r="W10">
        <f t="shared" si="9"/>
        <v>26.053333333333335</v>
      </c>
      <c r="AB10" s="10">
        <v>5</v>
      </c>
      <c r="AC10" s="141">
        <v>13.333333333333334</v>
      </c>
      <c r="AD10" s="142" t="s">
        <v>49</v>
      </c>
      <c r="AE10" s="140" t="s">
        <v>46</v>
      </c>
      <c r="AF10" s="142" t="s">
        <v>55</v>
      </c>
      <c r="AG10" s="140" t="s">
        <v>52</v>
      </c>
      <c r="AH10" s="142" t="s">
        <v>49</v>
      </c>
      <c r="AI10" s="140" t="s">
        <v>46</v>
      </c>
      <c r="AJ10" s="142" t="s">
        <v>55</v>
      </c>
      <c r="AK10" s="140" t="s">
        <v>52</v>
      </c>
      <c r="AL10" s="142" t="s">
        <v>49</v>
      </c>
      <c r="AM10" s="140" t="s">
        <v>46</v>
      </c>
      <c r="AN10" s="142" t="s">
        <v>55</v>
      </c>
      <c r="AO10" s="140" t="s">
        <v>52</v>
      </c>
      <c r="AQ10" s="24" t="s">
        <v>52</v>
      </c>
      <c r="AR10" t="s">
        <v>2</v>
      </c>
    </row>
    <row r="11" spans="1:44" ht="20.100000000000001" customHeight="1" thickTop="1" thickBot="1" x14ac:dyDescent="0.3">
      <c r="A11" s="11" t="str">
        <f ca="1">RIGHT($B$12,2)</f>
        <v>28</v>
      </c>
      <c r="B11" s="11" t="str">
        <f ca="1">LEFT($B$12,4)</f>
        <v>1955</v>
      </c>
      <c r="C11" s="11" t="str">
        <f ca="1">MID($B$12,6,2)</f>
        <v>10</v>
      </c>
      <c r="E11">
        <v>9</v>
      </c>
      <c r="F11" s="61" t="s">
        <v>8</v>
      </c>
      <c r="G11" s="62">
        <v>55</v>
      </c>
      <c r="H11" s="63">
        <f t="shared" si="10"/>
        <v>5</v>
      </c>
      <c r="I11" s="63">
        <f>rasinum(Sheet1!$G11)</f>
        <v>2</v>
      </c>
      <c r="J11" s="64" t="str">
        <f>naks($G$11)</f>
        <v>Mrigashira</v>
      </c>
      <c r="K11" s="64" t="str">
        <f>NaksPad(Sheet1!$G11)</f>
        <v>1</v>
      </c>
      <c r="L11" s="46">
        <f>MOD($G$11,30)</f>
        <v>25</v>
      </c>
      <c r="M11" s="46" t="str">
        <f>Convert_Degree($L$11)</f>
        <v xml:space="preserve"> 25° 0' 00"</v>
      </c>
      <c r="N11" s="56" t="str">
        <f t="shared" si="0"/>
        <v>Le</v>
      </c>
      <c r="O11" t="str">
        <f t="shared" si="6"/>
        <v>Ke</v>
      </c>
      <c r="P11" s="10" t="str">
        <f t="shared" si="1"/>
        <v>Ta</v>
      </c>
      <c r="Q11" s="210" t="str">
        <f t="shared" si="2"/>
        <v>Ke</v>
      </c>
      <c r="R11" s="24">
        <f t="shared" si="7"/>
        <v>2</v>
      </c>
      <c r="S11" s="217" t="str">
        <f t="shared" si="8"/>
        <v>Ke</v>
      </c>
      <c r="T11" s="209">
        <f t="shared" si="3"/>
        <v>5</v>
      </c>
      <c r="U11" s="210" t="str">
        <f t="shared" si="4"/>
        <v>Ke</v>
      </c>
      <c r="V11" s="10" t="str">
        <f t="shared" si="5"/>
        <v>Le</v>
      </c>
      <c r="W11">
        <f t="shared" si="9"/>
        <v>6.0533333333333337</v>
      </c>
      <c r="AB11" s="10">
        <v>6</v>
      </c>
      <c r="AC11" s="141">
        <v>16.666666666666668</v>
      </c>
      <c r="AD11" s="142" t="s">
        <v>50</v>
      </c>
      <c r="AE11" s="140" t="s">
        <v>47</v>
      </c>
      <c r="AF11" s="142" t="s">
        <v>56</v>
      </c>
      <c r="AG11" s="140" t="s">
        <v>53</v>
      </c>
      <c r="AH11" s="142" t="s">
        <v>50</v>
      </c>
      <c r="AI11" s="140" t="s">
        <v>47</v>
      </c>
      <c r="AJ11" s="142" t="s">
        <v>56</v>
      </c>
      <c r="AK11" s="140" t="s">
        <v>53</v>
      </c>
      <c r="AL11" s="142" t="s">
        <v>50</v>
      </c>
      <c r="AM11" s="140" t="s">
        <v>47</v>
      </c>
      <c r="AN11" s="142" t="s">
        <v>56</v>
      </c>
      <c r="AO11" s="140" t="s">
        <v>53</v>
      </c>
      <c r="AQ11" s="24" t="s">
        <v>53</v>
      </c>
      <c r="AR11" t="s">
        <v>4</v>
      </c>
    </row>
    <row r="12" spans="1:44" ht="20.100000000000001" customHeight="1" thickTop="1" x14ac:dyDescent="0.25">
      <c r="B12" s="11" t="str">
        <f ca="1">DateText(birthdate)</f>
        <v>1955-10-28</v>
      </c>
      <c r="C12" s="11"/>
      <c r="E12" s="31" t="str">
        <f>Convert_Degree(Asc)</f>
        <v xml:space="preserve"> 85° 0' 00"</v>
      </c>
      <c r="F12" s="65" t="s">
        <v>61</v>
      </c>
      <c r="G12" s="62">
        <v>85</v>
      </c>
      <c r="H12" s="63">
        <f t="shared" si="10"/>
        <v>7</v>
      </c>
      <c r="I12" s="63">
        <f>rasinum(Asc)</f>
        <v>3</v>
      </c>
      <c r="J12" s="64" t="str">
        <f>naks($G$12)</f>
        <v>Punarvasu</v>
      </c>
      <c r="K12" s="64" t="str">
        <f>NaksPad(Sheet1!$G12)</f>
        <v>2</v>
      </c>
      <c r="L12" s="46">
        <f>MOD($G$12,30)</f>
        <v>25</v>
      </c>
      <c r="M12" s="46" t="str">
        <f>Convert_Degree($L$12)</f>
        <v xml:space="preserve"> 25° 0' 00"</v>
      </c>
      <c r="N12" s="56" t="str">
        <f t="shared" si="0"/>
        <v>Ta</v>
      </c>
      <c r="O12" t="str">
        <f t="shared" si="6"/>
        <v>As</v>
      </c>
      <c r="P12" s="10" t="str">
        <f t="shared" si="1"/>
        <v>Ge</v>
      </c>
      <c r="Q12" s="210" t="s">
        <v>67</v>
      </c>
      <c r="R12" s="24">
        <f t="shared" si="7"/>
        <v>3</v>
      </c>
      <c r="S12" s="217" t="str">
        <f t="shared" si="8"/>
        <v>As</v>
      </c>
      <c r="T12" s="209">
        <f t="shared" si="3"/>
        <v>2</v>
      </c>
      <c r="U12" s="210" t="str">
        <f t="shared" si="4"/>
        <v>As</v>
      </c>
      <c r="V12" s="10" t="str">
        <f t="shared" si="5"/>
        <v>Ta</v>
      </c>
      <c r="W12">
        <f t="shared" si="9"/>
        <v>9.2133333333333329</v>
      </c>
      <c r="AB12" s="10">
        <v>7</v>
      </c>
      <c r="AC12" s="141">
        <v>20</v>
      </c>
      <c r="AD12" s="142" t="s">
        <v>51</v>
      </c>
      <c r="AE12" s="140" t="s">
        <v>48</v>
      </c>
      <c r="AF12" s="142" t="s">
        <v>45</v>
      </c>
      <c r="AG12" s="140" t="s">
        <v>54</v>
      </c>
      <c r="AH12" s="142" t="s">
        <v>51</v>
      </c>
      <c r="AI12" s="140" t="s">
        <v>48</v>
      </c>
      <c r="AJ12" s="142" t="s">
        <v>45</v>
      </c>
      <c r="AK12" s="140" t="s">
        <v>54</v>
      </c>
      <c r="AL12" s="142" t="s">
        <v>51</v>
      </c>
      <c r="AM12" s="140" t="s">
        <v>48</v>
      </c>
      <c r="AN12" s="142" t="s">
        <v>45</v>
      </c>
      <c r="AO12" s="140" t="s">
        <v>54</v>
      </c>
      <c r="AQ12" s="24" t="s">
        <v>54</v>
      </c>
      <c r="AR12" t="s">
        <v>6</v>
      </c>
    </row>
    <row r="13" spans="1:44" ht="20.100000000000001" customHeight="1" x14ac:dyDescent="0.25">
      <c r="B13" s="18">
        <f ca="1">DateTextValue(B12)+(TOB-TZ/24)</f>
        <v>20390.660763888889</v>
      </c>
      <c r="D13" s="10" t="s">
        <v>212</v>
      </c>
      <c r="E13" s="235" t="str">
        <f>Convert_Degree(ABS($G$4-$G$3))</f>
        <v xml:space="preserve"> 153° 20' 00"</v>
      </c>
      <c r="F13" s="211" t="s">
        <v>69</v>
      </c>
      <c r="G13" s="62" t="str">
        <f>IF(AND(ABS($G$4-$G$3)&gt;90,ABS($G$4-$G$3)&lt;90+180),"Benefic","Malefic")</f>
        <v>Benefic</v>
      </c>
      <c r="H13" s="63"/>
      <c r="I13" s="63"/>
      <c r="J13" s="64"/>
      <c r="K13" s="64"/>
      <c r="L13" s="46"/>
      <c r="M13" s="46"/>
      <c r="N13" s="47"/>
      <c r="S13" t="s">
        <v>196</v>
      </c>
      <c r="T13" s="209" t="str">
        <f>IF(ABS((T4-T3)+1)&gt;4, "Benefic","Malefic")</f>
        <v>Malefic</v>
      </c>
      <c r="AB13" s="10">
        <v>8</v>
      </c>
      <c r="AC13" s="141">
        <v>23.333333333333336</v>
      </c>
      <c r="AD13" s="142" t="s">
        <v>52</v>
      </c>
      <c r="AE13" s="140" t="s">
        <v>49</v>
      </c>
      <c r="AF13" s="142" t="s">
        <v>46</v>
      </c>
      <c r="AG13" s="140" t="s">
        <v>55</v>
      </c>
      <c r="AH13" s="142" t="s">
        <v>52</v>
      </c>
      <c r="AI13" s="140" t="s">
        <v>49</v>
      </c>
      <c r="AJ13" s="142" t="s">
        <v>46</v>
      </c>
      <c r="AK13" s="140" t="s">
        <v>55</v>
      </c>
      <c r="AL13" s="142" t="s">
        <v>52</v>
      </c>
      <c r="AM13" s="140" t="s">
        <v>49</v>
      </c>
      <c r="AN13" s="142" t="s">
        <v>46</v>
      </c>
      <c r="AO13" s="140" t="s">
        <v>55</v>
      </c>
      <c r="AQ13" s="24" t="s">
        <v>55</v>
      </c>
      <c r="AR13" t="s">
        <v>6</v>
      </c>
    </row>
    <row r="14" spans="1:44" ht="20.100000000000001" customHeight="1" x14ac:dyDescent="0.25">
      <c r="B14" s="18"/>
      <c r="E14" s="42"/>
      <c r="F14" s="211" t="s">
        <v>70</v>
      </c>
      <c r="G14" s="94" t="str">
        <f>CheckMeBeneficMalefic(row)</f>
        <v>Malefic</v>
      </c>
      <c r="H14" s="95"/>
      <c r="I14" s="95"/>
      <c r="J14" s="96"/>
      <c r="K14" s="96"/>
      <c r="L14" s="97"/>
      <c r="M14" s="97"/>
      <c r="N14" s="98"/>
      <c r="S14" t="s">
        <v>197</v>
      </c>
      <c r="T14" s="94" t="str">
        <f>CheckMe9BeneficMalefic(row)</f>
        <v>Benefic</v>
      </c>
      <c r="AB14" s="10">
        <v>9</v>
      </c>
      <c r="AC14" s="141">
        <v>26.666666666666668</v>
      </c>
      <c r="AD14" s="142" t="s">
        <v>53</v>
      </c>
      <c r="AE14" s="140" t="s">
        <v>50</v>
      </c>
      <c r="AF14" s="142" t="s">
        <v>47</v>
      </c>
      <c r="AG14" s="140" t="s">
        <v>56</v>
      </c>
      <c r="AH14" s="142" t="s">
        <v>53</v>
      </c>
      <c r="AI14" s="140" t="s">
        <v>50</v>
      </c>
      <c r="AJ14" s="142" t="s">
        <v>47</v>
      </c>
      <c r="AK14" s="140" t="s">
        <v>56</v>
      </c>
      <c r="AL14" s="142" t="s">
        <v>53</v>
      </c>
      <c r="AM14" s="140" t="s">
        <v>50</v>
      </c>
      <c r="AN14" s="142" t="s">
        <v>47</v>
      </c>
      <c r="AO14" s="140" t="s">
        <v>56</v>
      </c>
      <c r="AQ14" s="24" t="s">
        <v>56</v>
      </c>
      <c r="AR14" t="s">
        <v>4</v>
      </c>
    </row>
    <row r="15" spans="1:44" ht="20.100000000000001" customHeight="1" thickBot="1" x14ac:dyDescent="0.45">
      <c r="B15" s="342" t="s">
        <v>246</v>
      </c>
      <c r="D15" s="30"/>
      <c r="E15" s="42"/>
      <c r="H15" s="43"/>
      <c r="I15" s="43"/>
      <c r="J15" s="44"/>
      <c r="K15" s="44"/>
      <c r="L15" s="45"/>
      <c r="M15" s="45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B15" s="141">
        <v>30</v>
      </c>
    </row>
    <row r="16" spans="1:44" ht="48" customHeight="1" thickBot="1" x14ac:dyDescent="0.3">
      <c r="B16" s="343" t="s">
        <v>72</v>
      </c>
      <c r="M16" s="21" t="str">
        <f>IFERROR(SingleCellExtract("Pi",$P$3:$Q$12,2),"")</f>
        <v xml:space="preserve"> Mo</v>
      </c>
      <c r="N16" s="21" t="str">
        <f>IFERROR(SingleCellExtract("Ar",$P$3:$Q$12,2),"")</f>
        <v/>
      </c>
      <c r="O16" s="21" t="str">
        <f>IFERROR(SingleCellExtract("Ta",$P$3:$Q$12,2),"")</f>
        <v xml:space="preserve"> Ke</v>
      </c>
      <c r="P16" s="21" t="str">
        <f>IFERROR(SingleCellExtract("Ge",$P$3:$Q$12,2),"")</f>
        <v xml:space="preserve"> As</v>
      </c>
      <c r="T16" s="21" t="str">
        <f>IFERROR(SingleCellExtract("Pi",$N$3:$O$12,2),"")</f>
        <v/>
      </c>
      <c r="U16" s="21" t="str">
        <f>IFERROR(SingleCellExtract("Ar",$N$3:$O$12,2),"")</f>
        <v/>
      </c>
      <c r="V16" s="21" t="str">
        <f>IFERROR(SingleCellExtract("Ta",$N$3:$O$12,2),"")</f>
        <v xml:space="preserve"> As</v>
      </c>
      <c r="W16" s="21" t="str">
        <f>IFERROR(SingleCellExtract("Ge",$N$3:$O$12,2),"")</f>
        <v xml:space="preserve"> Ma, Ve, Sa</v>
      </c>
    </row>
    <row r="17" spans="1:43" ht="48" customHeight="1" thickBot="1" x14ac:dyDescent="0.3">
      <c r="M17" s="21" t="str">
        <f>IFERROR(SingleCellExtract("Aq",$P$3:$Q$12,2),"")</f>
        <v/>
      </c>
      <c r="N17" s="369" t="s">
        <v>121</v>
      </c>
      <c r="O17" s="370"/>
      <c r="P17" s="21" t="str">
        <f>IFERROR(SingleCellExtract("Cn",$P$3:$Q$12,2),"")</f>
        <v/>
      </c>
      <c r="T17" s="21" t="str">
        <f>IFERROR(SingleCellExtract("Aq",$N$3:$O$12,2),"")</f>
        <v xml:space="preserve"> Ra</v>
      </c>
      <c r="U17" s="369" t="s">
        <v>120</v>
      </c>
      <c r="V17" s="370"/>
      <c r="W17" s="21" t="str">
        <f>IFERROR(SingleCellExtract("Cn",$N$3:$O$12,2),"")</f>
        <v xml:space="preserve"> Me</v>
      </c>
    </row>
    <row r="18" spans="1:43" ht="48" customHeight="1" thickBot="1" x14ac:dyDescent="0.3">
      <c r="M18" s="21" t="str">
        <f>IFERROR(SingleCellExtract("Cp",$P$3:$Q$12,2),"")</f>
        <v/>
      </c>
      <c r="N18" s="371"/>
      <c r="O18" s="372"/>
      <c r="P18" s="21" t="str">
        <f>IFERROR(SingleCellExtract("Le",$P$3:$Q$12,2),"")</f>
        <v xml:space="preserve"> Ju</v>
      </c>
      <c r="T18" s="21" t="str">
        <f>IFERROR(SingleCellExtract("Cp",$N$3:$O$12,2),"")</f>
        <v xml:space="preserve"> Su</v>
      </c>
      <c r="U18" s="371"/>
      <c r="V18" s="372"/>
      <c r="W18" s="21" t="str">
        <f>IFERROR(SingleCellExtract("Le",$N$3:$O$12,2),"")</f>
        <v xml:space="preserve"> Ke</v>
      </c>
    </row>
    <row r="19" spans="1:43" ht="48" customHeight="1" thickBot="1" x14ac:dyDescent="0.3">
      <c r="B19" s="277"/>
      <c r="M19" s="21" t="str">
        <f>IFERROR(SingleCellExtract("Sg",$P$3:$Q$12,2),"")</f>
        <v/>
      </c>
      <c r="N19" s="21" t="str">
        <f>IFERROR(SingleCellExtract("Sc",$P$3:$Q$12,2),"")</f>
        <v xml:space="preserve"> Ra</v>
      </c>
      <c r="O19" s="21" t="str">
        <f>IFERROR(SingleCellExtract("Li",$P$3:$Q$12,2),"")</f>
        <v xml:space="preserve"> Su, Ve, Sa</v>
      </c>
      <c r="P19" s="21" t="str">
        <f>IFERROR(SingleCellExtract("Vi",$P$3:$Q$12,2),"")</f>
        <v xml:space="preserve"> Ma, Me</v>
      </c>
      <c r="T19" s="21" t="str">
        <f>IFERROR(SingleCellExtract("Sg",$N$3:$O$12,2),"")</f>
        <v/>
      </c>
      <c r="U19" s="21" t="str">
        <f>IFERROR(SingleCellExtract("Sc",$N$3:$O$12,2),"")</f>
        <v xml:space="preserve"> Mo, Ju</v>
      </c>
      <c r="V19" s="21" t="str">
        <f>IFERROR(SingleCellExtract("Li",$N$3:$O$12,2),"")</f>
        <v/>
      </c>
      <c r="W19" s="21" t="str">
        <f>IFERROR(SingleCellExtract("Vi",$N$3:$O$12,2),"")</f>
        <v/>
      </c>
    </row>
    <row r="20" spans="1:43" ht="15.75" customHeight="1" thickBot="1" x14ac:dyDescent="0.3">
      <c r="A20" s="32"/>
      <c r="B20" s="32"/>
      <c r="C20" s="33"/>
      <c r="E20" s="32"/>
      <c r="F20" s="32"/>
      <c r="G20" s="32"/>
      <c r="H20" s="32"/>
      <c r="I20" s="32"/>
      <c r="U20" s="135"/>
      <c r="AF20" s="34"/>
      <c r="AG20" s="34"/>
      <c r="AH20" s="35"/>
      <c r="AI20" s="35"/>
      <c r="AJ20" s="35"/>
      <c r="AK20" s="35"/>
      <c r="AL20" s="1"/>
      <c r="AM20" s="1"/>
      <c r="AN20" s="1"/>
      <c r="AO20" s="1"/>
      <c r="AP20" s="30"/>
      <c r="AQ20" s="34"/>
    </row>
    <row r="21" spans="1:43" ht="80.25" customHeight="1" thickBot="1" x14ac:dyDescent="0.3">
      <c r="A21" s="27"/>
      <c r="B21" s="344" t="s">
        <v>130</v>
      </c>
      <c r="C21" s="145"/>
      <c r="D21" s="146"/>
      <c r="E21" s="146" t="s">
        <v>73</v>
      </c>
      <c r="F21" s="147" t="s">
        <v>74</v>
      </c>
      <c r="G21" s="148" t="s">
        <v>75</v>
      </c>
      <c r="H21" s="195" t="s">
        <v>79</v>
      </c>
      <c r="I21" s="197" t="s">
        <v>161</v>
      </c>
      <c r="M21" s="135"/>
      <c r="U21" s="135"/>
      <c r="AF21" s="34"/>
      <c r="AG21" s="34"/>
      <c r="AH21" s="35"/>
      <c r="AI21" s="35"/>
      <c r="AJ21" s="35"/>
      <c r="AK21" s="35"/>
      <c r="AL21" s="1"/>
      <c r="AM21" s="1"/>
      <c r="AN21" s="1"/>
      <c r="AO21" s="1"/>
      <c r="AP21" s="30"/>
      <c r="AQ21" s="34"/>
    </row>
    <row r="22" spans="1:43" ht="15.75" customHeight="1" x14ac:dyDescent="0.35">
      <c r="A22" s="27"/>
      <c r="B22" s="149"/>
      <c r="C22" s="143">
        <v>7</v>
      </c>
      <c r="D22" s="150" t="s">
        <v>63</v>
      </c>
      <c r="E22" s="151" t="s">
        <v>0</v>
      </c>
      <c r="F22" s="113" t="str">
        <f>INDEX($D$101:$D$112,MATCH(GetCountedSlot(7-1,"Su",$O$3:$P$12),$C$101:$C$112,0),1)</f>
        <v/>
      </c>
      <c r="G22" s="152">
        <f>IFERROR(IF(FIND("Sa", F22)&gt;0, INT(ROW()), 0), 0)</f>
        <v>0</v>
      </c>
      <c r="H22" s="162" t="str">
        <f>E22</f>
        <v>Su</v>
      </c>
      <c r="I22" s="212" t="str">
        <f>INDEX(Signs,IF(MOD(I3+7-1,12)=0,1,MOD(I3+7-1,12)),)</f>
        <v>Ar</v>
      </c>
      <c r="J22" s="136"/>
      <c r="K22" s="75"/>
      <c r="L22" s="384" t="str">
        <f>INDEX($D$101:$D$112,MATCH(GetCountedSlot(2-1,"As",$O$3:$P$12),$C$101:$C$112,0),1)</f>
        <v/>
      </c>
      <c r="M22" s="107"/>
      <c r="N22" s="76"/>
      <c r="O22" s="107" t="str">
        <f>INDEX($D$101:$D$112,MATCH(GetCountedSlot(12-1,"As",$O$3:$P$12),$C$101:$C$112,0),1)</f>
        <v xml:space="preserve"> Ke</v>
      </c>
      <c r="P22" s="107"/>
      <c r="Q22" s="77"/>
      <c r="S22" s="75"/>
      <c r="T22" s="107" t="str">
        <f>INDEX($F$101:$F$112,MATCH(GetCountedSlot(2-1,"As",$U$3:$V$12),$E$101:$E$112,0),1)</f>
        <v xml:space="preserve"> Ma, Ve, Sa</v>
      </c>
      <c r="U22" s="107"/>
      <c r="V22" s="76"/>
      <c r="W22" s="107" t="str">
        <f>INDEX($F$101:$F$112,MATCH(GetCountedSlot(12-1,"As",$U$3:$V$12),$E$101:$E$112,0),1)</f>
        <v/>
      </c>
      <c r="X22" s="107"/>
      <c r="Y22" s="77"/>
      <c r="AF22" s="34"/>
      <c r="AG22" s="34"/>
      <c r="AH22" s="35"/>
      <c r="AI22" s="35"/>
      <c r="AJ22" s="35"/>
      <c r="AK22" s="35"/>
      <c r="AL22" s="1"/>
      <c r="AM22" s="1"/>
      <c r="AN22" s="1"/>
      <c r="AO22" s="1"/>
      <c r="AP22" s="30"/>
      <c r="AQ22" s="34"/>
    </row>
    <row r="23" spans="1:43" ht="15.75" customHeight="1" x14ac:dyDescent="0.35">
      <c r="A23" s="27"/>
      <c r="B23" s="149"/>
      <c r="C23" s="143">
        <v>7</v>
      </c>
      <c r="D23" s="150" t="s">
        <v>63</v>
      </c>
      <c r="E23" s="151" t="s">
        <v>1</v>
      </c>
      <c r="F23" s="113" t="str">
        <f>INDEX($D$101:$D$112,MATCH(GetCountedSlot(7-1,"Mo",$O$3:$P$12),$C$101:$C$112,0),1)</f>
        <v xml:space="preserve"> Ma, Me</v>
      </c>
      <c r="G23" s="152">
        <f t="shared" ref="G23:G29" si="11">IFERROR(IF(FIND("Sa", F23)&gt;0, INT(ROW()), 0), 0)</f>
        <v>0</v>
      </c>
      <c r="H23" s="162" t="str">
        <f t="shared" ref="H23:H29" si="12">E23</f>
        <v>Mo</v>
      </c>
      <c r="I23" s="212" t="str">
        <f>INDEX(Signs,IF(MOD(I4+7-1,12)=0,1,MOD(I4+7-1,12)),)</f>
        <v>Vi</v>
      </c>
      <c r="J23" s="136"/>
      <c r="K23" s="78"/>
      <c r="L23" s="385"/>
      <c r="M23" s="105"/>
      <c r="N23" s="79"/>
      <c r="O23" s="105"/>
      <c r="P23" s="105"/>
      <c r="Q23" s="80"/>
      <c r="S23" s="78"/>
      <c r="T23" s="105"/>
      <c r="U23" s="105"/>
      <c r="V23" s="79"/>
      <c r="W23" s="105"/>
      <c r="X23" s="105"/>
      <c r="Y23" s="80"/>
      <c r="AF23" s="34"/>
      <c r="AG23" s="34"/>
      <c r="AH23" s="35"/>
      <c r="AI23" s="35"/>
      <c r="AJ23" s="35"/>
      <c r="AK23" s="35"/>
      <c r="AL23" s="1"/>
      <c r="AM23" s="1"/>
      <c r="AN23" s="1"/>
      <c r="AO23" s="1"/>
      <c r="AP23" s="30"/>
      <c r="AQ23" s="34"/>
    </row>
    <row r="24" spans="1:43" ht="15.75" customHeight="1" x14ac:dyDescent="0.35">
      <c r="A24" s="27"/>
      <c r="B24" s="149"/>
      <c r="C24" s="143" t="s">
        <v>71</v>
      </c>
      <c r="D24" s="150" t="s">
        <v>63</v>
      </c>
      <c r="E24" s="151" t="s">
        <v>2</v>
      </c>
      <c r="F24" s="113" t="str">
        <f>INDEX($D$101:$D$112,MATCH(GetCountedSlot(4-1,"Ma",$O$3:$P$12),$C$101:$C$112,0),1) &amp;
INDEX($D$101:$D$112,MATCH(GetCountedSlot(7-1,"Ma",$O$3:$P$12),$C$101:$C$112,0),1)  &amp;
INDEX($D$101:$D$112,MATCH(GetCountedSlot(8-1,"Ma",$O$3:$P$12),$C$101:$C$112,0),1)</f>
        <v xml:space="preserve"> Mo</v>
      </c>
      <c r="G24" s="152">
        <f t="shared" si="11"/>
        <v>0</v>
      </c>
      <c r="H24" s="162" t="str">
        <f t="shared" si="12"/>
        <v>Ma</v>
      </c>
      <c r="I24" s="212" t="str">
        <f>INDEX(Signs,IF(MOD(I5+4-1,12)=0,1,MOD(I5+4-1,12)),) &amp; "," &amp;
INDEX(Signs,IF(MOD(I5+7-1,12)=0,1,MOD(I5+7-1,12)),) &amp; "," &amp;
INDEX(Signs,IF(MOD(I5+8-1,12)=0,1,MOD(I5+8-1,12)),)</f>
        <v>Sg,Ar,Ar</v>
      </c>
      <c r="J24" s="349"/>
      <c r="K24" s="378" t="str">
        <f>INDEX($D$101:$D$112,MATCH(GetCountedSlot(3-1,"As",$O$3:$P$12),$C$101:$C$112,0),1)</f>
        <v xml:space="preserve"> Ju</v>
      </c>
      <c r="L24" s="385"/>
      <c r="M24" s="79"/>
      <c r="N24" s="381" t="str">
        <f>INDEX($D$101:$D$112,MATCH(GetCountedSlot(1-1,"As",$O$3:$P$12),$C$101:$C$112,0),1)</f>
        <v xml:space="preserve"> As</v>
      </c>
      <c r="O24" s="79"/>
      <c r="P24" s="79"/>
      <c r="Q24" s="108" t="str">
        <f>INDEX($D$101:$D$112,MATCH(GetCountedSlot(11-1,"As",$O$3:$P$12),$C$101:$C$112,0),1)</f>
        <v/>
      </c>
      <c r="S24" s="378" t="str">
        <f>INDEX($F$101:$F$112,MATCH(GetCountedSlot(3-1,"As",$U$3:$V$12),$E$101:$E$112,0),1)</f>
        <v xml:space="preserve"> Me</v>
      </c>
      <c r="T24" s="79"/>
      <c r="U24" s="79"/>
      <c r="V24" s="381" t="str">
        <f>INDEX($F$101:$F$112,MATCH(GetCountedSlot(1-1,"As",$U$3:$V$12),$E$101:$E$112,0),1)</f>
        <v xml:space="preserve"> As</v>
      </c>
      <c r="W24" s="79"/>
      <c r="X24" s="79"/>
      <c r="Y24" s="108" t="str">
        <f>INDEX($F$101:$F$112,MATCH(GetCountedSlot(11-1,"As",$U$3:$V$12),$E$101:$E$112,0),1)</f>
        <v/>
      </c>
      <c r="AF24" s="34"/>
      <c r="AG24" s="34"/>
      <c r="AH24" s="35"/>
      <c r="AI24" s="35"/>
      <c r="AJ24" s="35"/>
      <c r="AK24" s="35"/>
      <c r="AL24" s="1"/>
      <c r="AM24" s="1"/>
      <c r="AN24" s="1"/>
      <c r="AO24" s="1"/>
      <c r="AP24" s="30"/>
      <c r="AQ24" s="34"/>
    </row>
    <row r="25" spans="1:43" ht="15.75" customHeight="1" x14ac:dyDescent="0.35">
      <c r="A25" s="27"/>
      <c r="B25" s="153"/>
      <c r="C25" s="143">
        <v>7</v>
      </c>
      <c r="D25" s="150" t="s">
        <v>63</v>
      </c>
      <c r="E25" s="151" t="s">
        <v>3</v>
      </c>
      <c r="F25" s="113" t="str">
        <f>INDEX($D$101:$D$112,MATCH(GetCountedSlot(7-1,"Me",$O$3:$P$12),$C$101:$C$112,0),1)</f>
        <v xml:space="preserve"> Mo</v>
      </c>
      <c r="G25" s="152">
        <f t="shared" si="11"/>
        <v>0</v>
      </c>
      <c r="H25" s="162" t="str">
        <f t="shared" si="12"/>
        <v>Me</v>
      </c>
      <c r="I25" s="212" t="str">
        <f>INDEX(Signs,IF(MOD(I6+7-1,12)=0,1,MOD(I6+7-1,12)),)</f>
        <v>Ar</v>
      </c>
      <c r="J25" s="349"/>
      <c r="K25" s="378"/>
      <c r="L25" s="164">
        <f>IF(N29+1=13,12,N29+1)</f>
        <v>4</v>
      </c>
      <c r="M25" s="79"/>
      <c r="N25" s="381"/>
      <c r="O25" s="79"/>
      <c r="P25" s="87">
        <f>IF(P26+1=13,1,P26+1)</f>
        <v>1</v>
      </c>
      <c r="Q25" s="108"/>
      <c r="S25" s="378"/>
      <c r="T25" s="90">
        <f>IF(MOD(V29+1,12)=0,12,MOD(V29+1,12))</f>
        <v>3</v>
      </c>
      <c r="U25" s="79"/>
      <c r="V25" s="381"/>
      <c r="W25" s="79"/>
      <c r="X25" s="87">
        <f>IF(MOD(X26+1,12)=0,12,MOD(X26+1,12))</f>
        <v>2</v>
      </c>
      <c r="Y25" s="108"/>
      <c r="AF25" s="34"/>
      <c r="AG25" s="34"/>
      <c r="AH25" s="35"/>
      <c r="AI25" s="35"/>
      <c r="AJ25" s="35"/>
      <c r="AK25" s="35"/>
      <c r="AL25" s="1"/>
      <c r="AM25" s="1"/>
      <c r="AN25" s="1"/>
      <c r="AO25" s="1"/>
      <c r="AP25" s="30"/>
      <c r="AQ25" s="34"/>
    </row>
    <row r="26" spans="1:43" ht="15.75" customHeight="1" x14ac:dyDescent="0.35">
      <c r="A26" s="27"/>
      <c r="B26" s="154"/>
      <c r="C26" s="143" t="s">
        <v>163</v>
      </c>
      <c r="D26" s="150" t="s">
        <v>63</v>
      </c>
      <c r="E26" s="151" t="s">
        <v>4</v>
      </c>
      <c r="F26" s="113" t="str">
        <f>INDEX($D$101:$D$112,MATCH(GetCountedSlot(5-1,"Ju",$O$3:$P$12),$C$101:$C$112,0),1) &amp;
INDEX($D$101:$D$112,MATCH(GetCountedSlot(7-1,"Ju",$O$3:$P$12),$C$101:$C$112,0),1)  &amp;
INDEX($D$101:$D$112,MATCH(GetCountedSlot(9-1,"Ju",$O$3:$P$12),$C$101:$C$112,0),1)</f>
        <v/>
      </c>
      <c r="G26" s="152">
        <f t="shared" si="11"/>
        <v>0</v>
      </c>
      <c r="H26" s="162" t="str">
        <f t="shared" si="12"/>
        <v>Ju</v>
      </c>
      <c r="I26" s="212" t="str">
        <f>INDEX(Signs,IF(MOD(I7+5-1,12)=0,1,MOD(I7+5-1,12)),) &amp;"," &amp;
INDEX(Signs,IF(MOD(I7+7-1,12)=0,1,MOD(I7+7-1,12)),) &amp;"," &amp;
INDEX(Signs,IF(MOD(I7+9-1,12)=0,1,MOD(I7+9-1,12)),)</f>
        <v>Sg,Aq,Ar</v>
      </c>
      <c r="J26" s="349"/>
      <c r="K26" s="378"/>
      <c r="L26" s="165">
        <f>IF(L25+1=13,1,L25+1)</f>
        <v>5</v>
      </c>
      <c r="M26" s="79"/>
      <c r="N26" s="381"/>
      <c r="O26" s="79"/>
      <c r="P26" s="89">
        <f>IF(O30+1=13,1,O30+1)</f>
        <v>12</v>
      </c>
      <c r="Q26" s="108"/>
      <c r="S26" s="378"/>
      <c r="T26" s="90">
        <f>IF(MOD(T25+1,12)=0,12,MOD(T25+1,12))</f>
        <v>4</v>
      </c>
      <c r="U26" s="79"/>
      <c r="V26" s="381"/>
      <c r="W26" s="79"/>
      <c r="X26" s="89">
        <f>IF(MOD(W29+1,12)=0,12,MOD(W29+1,12))</f>
        <v>1</v>
      </c>
      <c r="Y26" s="108"/>
      <c r="AF26" s="34"/>
      <c r="AG26" s="34"/>
      <c r="AH26" s="35"/>
      <c r="AI26" s="35"/>
      <c r="AJ26" s="35"/>
      <c r="AK26" s="35"/>
      <c r="AL26" s="1"/>
      <c r="AM26" s="1"/>
      <c r="AN26" s="1"/>
      <c r="AO26" s="1"/>
      <c r="AP26" s="30"/>
      <c r="AQ26" s="34"/>
    </row>
    <row r="27" spans="1:43" ht="15.75" customHeight="1" x14ac:dyDescent="0.35">
      <c r="A27" s="27"/>
      <c r="B27" s="149"/>
      <c r="C27" s="143">
        <v>7</v>
      </c>
      <c r="D27" s="150" t="s">
        <v>63</v>
      </c>
      <c r="E27" s="151" t="s">
        <v>5</v>
      </c>
      <c r="F27" s="113" t="str">
        <f>INDEX($D$101:$D$112,MATCH(GetCountedSlot(7-1,"Ve",$O$3:$P$12),$C$101:$C$112,0),1)</f>
        <v/>
      </c>
      <c r="G27" s="152">
        <f t="shared" si="11"/>
        <v>0</v>
      </c>
      <c r="H27" s="162" t="str">
        <f t="shared" si="12"/>
        <v>Ve</v>
      </c>
      <c r="I27" s="212" t="str">
        <f>INDEX(Signs,IF(MOD(I8+7-1,12)=0,1,MOD(I8+7-1,12)),)</f>
        <v>Ar</v>
      </c>
      <c r="J27" s="349"/>
      <c r="K27" s="378"/>
      <c r="L27" s="79"/>
      <c r="M27" s="79"/>
      <c r="N27" s="381"/>
      <c r="O27" s="79"/>
      <c r="P27" s="79"/>
      <c r="Q27" s="108"/>
      <c r="S27" s="378"/>
      <c r="T27" s="79"/>
      <c r="U27" s="79"/>
      <c r="V27" s="381"/>
      <c r="W27" s="79"/>
      <c r="X27" s="79"/>
      <c r="Y27" s="108"/>
      <c r="AF27" s="34"/>
      <c r="AG27" s="34"/>
      <c r="AH27" s="35"/>
      <c r="AI27" s="35"/>
      <c r="AJ27" s="35"/>
      <c r="AK27" s="35"/>
      <c r="AL27" s="1"/>
      <c r="AM27" s="1"/>
      <c r="AN27" s="1"/>
      <c r="AO27" s="1"/>
      <c r="AP27" s="30"/>
      <c r="AQ27" s="34"/>
    </row>
    <row r="28" spans="1:43" ht="15.75" customHeight="1" x14ac:dyDescent="0.35">
      <c r="A28" s="27"/>
      <c r="B28" s="153"/>
      <c r="C28" s="143" t="s">
        <v>162</v>
      </c>
      <c r="D28" s="150" t="s">
        <v>63</v>
      </c>
      <c r="E28" s="151" t="s">
        <v>6</v>
      </c>
      <c r="F28" s="113" t="str">
        <f>INDEX($D$101:$D$112,MATCH(GetCountedSlot(3-1,"Sa",$O$3:$P$12),$C$101:$C$112,0),1) &amp;
INDEX($D$101:$D$112,MATCH(GetCountedSlot(7-1,"Sa",$O$3:$P$12),$C$101:$C$112,0),1) &amp;
INDEX($D$101:$D$112,MATCH(GetCountedSlot(10-1,"Sa",$O$3:$P$12),$C$101:$C$112,0),1)</f>
        <v/>
      </c>
      <c r="G28" s="152">
        <f t="shared" si="11"/>
        <v>0</v>
      </c>
      <c r="H28" s="162" t="str">
        <f t="shared" si="12"/>
        <v>Sa</v>
      </c>
      <c r="I28" s="212" t="str">
        <f>INDEX(Signs,IF(MOD(I9+3-1,12)=0,1,MOD(I9+3-1,12)),)&amp;","&amp;
INDEX(Signs,IF(MOD(I9+7-1,12)=0,1,MOD(I9+7-1,12)),)&amp;","&amp;
INDEX(Signs,IF(MOD(I9+10-1,12)=0,1,MOD(I9+10-1,12)),)</f>
        <v>Sg,Ar,Cn</v>
      </c>
      <c r="J28" s="136"/>
      <c r="K28" s="78"/>
      <c r="L28" s="105"/>
      <c r="M28" s="79"/>
      <c r="N28" s="381"/>
      <c r="O28" s="79"/>
      <c r="P28" s="105" t="str">
        <f>INDEX($D$101:$D$112,MATCH(GetCountedSlot(10-1,"As",$O$3:$P$12),$C$101:$C$112,0),1)</f>
        <v xml:space="preserve"> Mo</v>
      </c>
      <c r="Q28" s="80"/>
      <c r="S28" s="78"/>
      <c r="T28" s="105" t="str">
        <f>INDEX($F$101:$F$112,MATCH(GetCountedSlot(4-1,"As",$U$3:$V$12),$E$101:$E$112,0),1)</f>
        <v xml:space="preserve"> Ke</v>
      </c>
      <c r="U28" s="79"/>
      <c r="V28" s="381"/>
      <c r="W28" s="79"/>
      <c r="X28" s="105" t="str">
        <f>INDEX($F$101:$F$112,MATCH(GetCountedSlot(10-1,"As",$U$3:$V$12),$E$101:$E$112,0),1)</f>
        <v xml:space="preserve"> Ra</v>
      </c>
      <c r="Y28" s="80"/>
      <c r="AF28" s="34"/>
      <c r="AG28" s="34"/>
      <c r="AH28" s="35"/>
      <c r="AI28" s="35"/>
      <c r="AJ28" s="35"/>
      <c r="AK28" s="35"/>
      <c r="AL28" s="1"/>
      <c r="AM28" s="1"/>
      <c r="AN28" s="1"/>
      <c r="AO28" s="1"/>
      <c r="AP28" s="30"/>
      <c r="AQ28" s="34"/>
    </row>
    <row r="29" spans="1:43" ht="15.75" customHeight="1" thickBot="1" x14ac:dyDescent="0.4">
      <c r="A29" s="27"/>
      <c r="B29" s="155"/>
      <c r="C29" s="144" t="s">
        <v>164</v>
      </c>
      <c r="D29" s="156" t="s">
        <v>63</v>
      </c>
      <c r="E29" s="157" t="s">
        <v>7</v>
      </c>
      <c r="F29" s="158" t="str">
        <f>INDEX($D$101:$D$112,MATCH(GetCountedSlot(2-1,"Ra",$O$3:$P$12),$C$101:$C$112,0),1) &amp;
INDEX($D$101:$D$112,MATCH(GetCountedSlot(5-1,"Ra",$O$3:$P$12),$C$101:$C$112,0),1) &amp;
INDEX($D$101:$D$112,MATCH(GetCountedSlot(7-1,"Ra",$O$3:$P$12),$C$101:$C$112,0),1) &amp;
INDEX($D$101:$D$112,MATCH(GetCountedSlot(9-1,"Ra",$O$3:$P$12),$C$101:$C$112,0),1)</f>
        <v xml:space="preserve"> Mo Ke</v>
      </c>
      <c r="G29" s="159">
        <f t="shared" si="11"/>
        <v>0</v>
      </c>
      <c r="H29" s="162" t="str">
        <f t="shared" si="12"/>
        <v>Ra</v>
      </c>
      <c r="I29" s="212" t="str">
        <f>INDEX(Signs,IF(MOD(I10+2-1,12)=0,1,MOD(I10+2-1,12)),)&amp;","&amp;
INDEX(Signs,IF(MOD(I10+5-1,12)=0,1,MOD(I10+5-1,12)),)&amp;","&amp;
INDEX(Signs,IF(MOD(I10+7-1,12)=0,1,MOD(I10+7-1,12)),)&amp;","&amp;
INDEX(Signs,IF(MOD(I10+9-1,12)=0,1,MOD(I10+9-1,12)),)</f>
        <v>Sg,Ar,Ta,Cn</v>
      </c>
      <c r="J29" s="136"/>
      <c r="K29" s="78"/>
      <c r="L29" s="105" t="str">
        <f>INDEX($D$101:$D$112,MATCH(GetCountedSlot(4-1,"As",$O$3:$P$12),$C$101:$C$112,0),1)</f>
        <v xml:space="preserve"> Ma, Me</v>
      </c>
      <c r="M29" s="79"/>
      <c r="N29" s="84">
        <f>I12</f>
        <v>3</v>
      </c>
      <c r="O29" s="79"/>
      <c r="P29" s="105"/>
      <c r="Q29" s="80"/>
      <c r="S29" s="78"/>
      <c r="T29" s="105"/>
      <c r="U29" s="79"/>
      <c r="V29" s="167">
        <f>T12</f>
        <v>2</v>
      </c>
      <c r="W29" s="79"/>
      <c r="X29" s="105"/>
      <c r="Y29" s="80"/>
      <c r="AF29" s="34"/>
      <c r="AG29" s="34"/>
      <c r="AH29" s="35"/>
      <c r="AI29" s="35"/>
      <c r="AJ29" s="35"/>
      <c r="AK29" s="35"/>
      <c r="AL29" s="1"/>
      <c r="AM29" s="1"/>
      <c r="AN29" s="1"/>
      <c r="AO29" s="1"/>
      <c r="AP29" s="30"/>
      <c r="AQ29" s="34"/>
    </row>
    <row r="30" spans="1:43" ht="15.75" customHeight="1" x14ac:dyDescent="0.35">
      <c r="A30" s="99"/>
      <c r="B30" s="100"/>
      <c r="C30" s="101"/>
      <c r="D30" s="102"/>
      <c r="E30" s="103"/>
      <c r="F30" s="99"/>
      <c r="G30" s="99"/>
      <c r="I30" s="33"/>
      <c r="J30" s="136"/>
      <c r="K30" s="78"/>
      <c r="L30" s="105"/>
      <c r="M30" s="79"/>
      <c r="N30" s="27"/>
      <c r="O30" s="86">
        <f>IF(P34+1=13,1,P35+1)</f>
        <v>11</v>
      </c>
      <c r="P30" s="105"/>
      <c r="Q30" s="80"/>
      <c r="S30" s="78"/>
      <c r="T30" s="105"/>
      <c r="U30" s="79"/>
      <c r="X30" s="105"/>
      <c r="Y30" s="80"/>
      <c r="AF30" s="34"/>
      <c r="AG30" s="34"/>
      <c r="AH30" s="35"/>
      <c r="AI30" s="35"/>
      <c r="AJ30" s="35"/>
      <c r="AK30" s="35"/>
      <c r="AL30" s="1"/>
      <c r="AM30" s="1"/>
      <c r="AN30" s="1"/>
      <c r="AO30" s="1"/>
      <c r="AP30" s="30"/>
      <c r="AQ30" s="34"/>
    </row>
    <row r="31" spans="1:43" ht="15.75" customHeight="1" thickBot="1" x14ac:dyDescent="0.4">
      <c r="A31" s="99"/>
      <c r="B31" s="111"/>
      <c r="D31" s="102"/>
      <c r="E31" s="376" t="s">
        <v>85</v>
      </c>
      <c r="F31" s="377"/>
      <c r="G31" s="99"/>
      <c r="I31" s="33"/>
      <c r="J31" s="136"/>
      <c r="K31" s="78"/>
      <c r="L31" s="105"/>
      <c r="M31" s="89">
        <f>IF(L26+1=13,1,L26+1)</f>
        <v>6</v>
      </c>
      <c r="N31" s="87">
        <f>IF(L35+1=13,1,L35+1)</f>
        <v>9</v>
      </c>
      <c r="O31" s="79"/>
      <c r="P31" s="105"/>
      <c r="Q31" s="80"/>
      <c r="S31" s="78"/>
      <c r="T31" s="105"/>
      <c r="U31" s="88">
        <f>IF(MOD(T26+1,12)=0,12,MOD(T26+1,12))</f>
        <v>5</v>
      </c>
      <c r="W31" s="86">
        <f>IF(MOD(X34+1,12)=0,12,MOD(X34+1,12))</f>
        <v>11</v>
      </c>
      <c r="X31" s="105"/>
      <c r="Y31" s="80"/>
      <c r="AA31" t="s">
        <v>195</v>
      </c>
      <c r="AF31" s="34"/>
      <c r="AG31" s="34"/>
      <c r="AH31" s="35"/>
      <c r="AI31" s="35"/>
      <c r="AJ31" s="35"/>
      <c r="AK31" s="35"/>
      <c r="AL31" s="1"/>
      <c r="AM31" s="1"/>
      <c r="AN31" s="1"/>
      <c r="AO31" s="1"/>
      <c r="AP31" s="30"/>
      <c r="AQ31" s="34"/>
    </row>
    <row r="32" spans="1:43" ht="30" customHeight="1" thickBot="1" x14ac:dyDescent="0.4">
      <c r="C32" s="124" t="s">
        <v>79</v>
      </c>
      <c r="D32" s="124" t="s">
        <v>80</v>
      </c>
      <c r="E32" s="124" t="s">
        <v>82</v>
      </c>
      <c r="F32" s="124" t="s">
        <v>83</v>
      </c>
      <c r="G32" s="124" t="s">
        <v>81</v>
      </c>
      <c r="H32" s="124" t="s">
        <v>84</v>
      </c>
      <c r="I32" s="33"/>
      <c r="J32" s="349"/>
      <c r="K32" s="378" t="str">
        <f>INDEX($D$101:$D$112,MATCH(GetCountedSlot(5-1,"As",$O$3:$P$12),$C$101:$C$112,0),1)</f>
        <v xml:space="preserve"> Su, Ve, Sa</v>
      </c>
      <c r="L32" s="79"/>
      <c r="M32" s="79"/>
      <c r="N32" s="79"/>
      <c r="O32" s="79"/>
      <c r="P32" s="79"/>
      <c r="Q32" s="80"/>
      <c r="S32" s="378" t="str">
        <f>INDEX($F$101:$F$112,MATCH(GetCountedSlot(5-1,"As",$U$3:$V$12),$E$101:$E$112,0),1)</f>
        <v/>
      </c>
      <c r="T32" s="79"/>
      <c r="U32" s="79"/>
      <c r="V32" s="87">
        <f>IF(MOD(T35+1,12)=0,12,MOD(T35+1,12))</f>
        <v>8</v>
      </c>
      <c r="W32" s="79"/>
      <c r="X32" s="79"/>
      <c r="Y32" s="80"/>
      <c r="AA32" s="124" t="s">
        <v>79</v>
      </c>
      <c r="AB32" s="124" t="s">
        <v>80</v>
      </c>
      <c r="AC32" s="124" t="s">
        <v>82</v>
      </c>
      <c r="AD32" s="124" t="s">
        <v>83</v>
      </c>
      <c r="AE32" s="124" t="s">
        <v>81</v>
      </c>
      <c r="AF32" s="124" t="s">
        <v>84</v>
      </c>
      <c r="AG32" s="33"/>
      <c r="AH32" s="35"/>
      <c r="AI32" s="35"/>
      <c r="AJ32" s="35"/>
      <c r="AK32" s="35"/>
      <c r="AL32" s="1"/>
      <c r="AM32" s="1"/>
      <c r="AN32" s="1"/>
      <c r="AO32" s="1"/>
      <c r="AP32" s="30"/>
      <c r="AQ32" s="34"/>
    </row>
    <row r="33" spans="1:48" ht="15.75" customHeight="1" x14ac:dyDescent="0.35">
      <c r="A33" s="99"/>
      <c r="B33" s="214" t="s">
        <v>4</v>
      </c>
      <c r="C33" s="116" t="s">
        <v>4</v>
      </c>
      <c r="D33" s="114" t="str">
        <f>SingleCellExtract($I$7,$I$3:$O$11,7)</f>
        <v xml:space="preserve"> Ju</v>
      </c>
      <c r="E33" s="115" t="str">
        <f>IF(moStatus="Malefic",SUBSTITUTE(D33,"Mo","Malefic-Mo"),D33)</f>
        <v xml:space="preserve"> Ju</v>
      </c>
      <c r="F33" s="115" t="str">
        <f>IF(Mestatus="Malefic",SUBSTITUTE(E33,"Me","Malefic-Me"),E33)</f>
        <v xml:space="preserve"> Ju</v>
      </c>
      <c r="G33" s="115">
        <f>MIN(IF(ISNUMBER(SEARCH({"Su","Ma","Sa","Ra","Ke","Malefic-Mo","Malefic-Me"},TRIM(F33))),SEARCH({"Su","Ma","Sa","Ra","Ke","Malefic-Mo","Malefic-Me"},TRIM(F33))))</f>
        <v>0</v>
      </c>
      <c r="H33" s="117" t="str">
        <f>IF(G33=0,"Pure-Benefic","Impure")</f>
        <v>Pure-Benefic</v>
      </c>
      <c r="I33" s="134" t="str">
        <f>C33</f>
        <v>Ju</v>
      </c>
      <c r="J33" s="349"/>
      <c r="K33" s="378"/>
      <c r="L33" s="79"/>
      <c r="M33" s="79"/>
      <c r="N33" s="105" t="str">
        <f>INDEX($D$101:$D$112,MATCH(GetCountedSlot(7-1,"As",$O$3:$P$12),$C$101:$C$112,0),1)</f>
        <v/>
      </c>
      <c r="O33" s="79"/>
      <c r="P33" s="79"/>
      <c r="Q33" s="382" t="str">
        <f>INDEX($D$101:$D$112,MATCH(GetCountedSlot(9-1,"As",$O$3:$P$12),$C$101:$C$112,0),1)</f>
        <v/>
      </c>
      <c r="S33" s="378"/>
      <c r="T33" s="79"/>
      <c r="U33" s="79"/>
      <c r="V33" s="105" t="str">
        <f>INDEX($F$101:$F$112,MATCH(GetCountedSlot(7-1,"As",$U$3:$V$12),$E$101:$E$112,0),1)</f>
        <v xml:space="preserve"> Mo, Ju</v>
      </c>
      <c r="W33" s="79"/>
      <c r="X33" s="79"/>
      <c r="Y33" s="108" t="str">
        <f>INDEX($F$101:$F$112,MATCH(GetCountedSlot(9-1,"As",$U$3:$V$12),$E$101:$E$112,0),1)</f>
        <v xml:space="preserve"> Su</v>
      </c>
      <c r="AA33" s="218" t="s">
        <v>4</v>
      </c>
      <c r="AB33" s="114" t="str">
        <f>SingleCellExtract($T$7,$T$3:$U$12,2)</f>
        <v xml:space="preserve"> Mo, Ju</v>
      </c>
      <c r="AC33" s="115" t="str">
        <f>IF(MoStatus9="Malefic",SUBSTITUTE(AB33,"Mo","Malefic-Mo"),AB33)</f>
        <v xml:space="preserve"> Malefic-Mo, Ju</v>
      </c>
      <c r="AD33" s="115" t="str">
        <f>IF(Me9BenMal="Malefic",SUBSTITUTE(AC33,"Me","Malefic-Me"),AC33)</f>
        <v xml:space="preserve"> Malefic-Mo, Ju</v>
      </c>
      <c r="AE33" s="115">
        <f>MIN(IF(ISNUMBER(SEARCH({"Su","Ma","Sa","Ra","Ke","Malefic-Mo","Malefic-Me"},TRIM(AD33))),SEARCH({"Su","Ma","Sa","Ra","Ke","Malefic-Mo","Malefic-Me"},TRIM(AD33))))</f>
        <v>1</v>
      </c>
      <c r="AF33" s="117" t="str">
        <f>IF(AE33=0,"Pure-Benefic","Impure")</f>
        <v>Impure</v>
      </c>
      <c r="AG33" s="134" t="str">
        <f>AA33</f>
        <v>Ju</v>
      </c>
      <c r="AH33" s="35"/>
      <c r="AI33" s="35"/>
      <c r="AJ33" s="35"/>
      <c r="AK33" s="35"/>
      <c r="AL33" s="1"/>
      <c r="AM33" s="1"/>
      <c r="AN33" s="1"/>
      <c r="AO33" s="1"/>
      <c r="AP33" s="30"/>
      <c r="AQ33" s="34"/>
    </row>
    <row r="34" spans="1:48" ht="15.75" customHeight="1" x14ac:dyDescent="0.35">
      <c r="A34" s="99"/>
      <c r="B34" s="214" t="s">
        <v>5</v>
      </c>
      <c r="C34" s="118" t="s">
        <v>5</v>
      </c>
      <c r="D34" s="109" t="str">
        <f>SingleCellExtract($I$8,$I$3:$O$11,7)</f>
        <v xml:space="preserve"> Su, Ve, Sa</v>
      </c>
      <c r="E34" s="69" t="str">
        <f>IF(moStatus="Malefic",SUBSTITUTE(D34,"Mo","Malefic-Mo"),D34)</f>
        <v xml:space="preserve"> Su, Ve, Sa</v>
      </c>
      <c r="F34" s="69" t="str">
        <f>IF(Mestatus="Malefic",SUBSTITUTE(E34,"Me","Malefic-Me"),E34)</f>
        <v xml:space="preserve"> Su, Ve, Sa</v>
      </c>
      <c r="G34" s="115">
        <f>MIN(IF(ISNUMBER(SEARCH({"Su","Ma","Sa","Ra","Ke","Malefic-Mo","Malefic-Me"},TRIM(F34))),SEARCH({"Su","Ma","Sa","Ra","Ke","Malefic-Mo","Malefic-Me"},TRIM(F34))))</f>
        <v>1</v>
      </c>
      <c r="H34" s="117" t="str">
        <f t="shared" ref="H34:H36" si="13">IF(G34=0,"Pure-Benefic","Impure")</f>
        <v>Impure</v>
      </c>
      <c r="I34" s="134" t="str">
        <f t="shared" ref="I34:I36" si="14">C34</f>
        <v>Ve</v>
      </c>
      <c r="J34" s="349"/>
      <c r="K34" s="378"/>
      <c r="L34" s="87">
        <f>IF(M31+1=13,1,M31+1)</f>
        <v>7</v>
      </c>
      <c r="M34" s="79"/>
      <c r="N34" s="105"/>
      <c r="O34" s="79"/>
      <c r="P34" s="166">
        <f>IF(P35+1=13, 1,P35+1)</f>
        <v>11</v>
      </c>
      <c r="Q34" s="382"/>
      <c r="S34" s="378"/>
      <c r="T34" s="87">
        <f>IF(MOD(U31+1,12)=0,12,MOD(U31+1,12))</f>
        <v>6</v>
      </c>
      <c r="U34" s="79"/>
      <c r="V34" s="105"/>
      <c r="W34" s="79"/>
      <c r="X34" s="84">
        <f>IF(MOD(X35+1,12)=0,12,MOD(X35+1,12))</f>
        <v>10</v>
      </c>
      <c r="Y34" s="108"/>
      <c r="AA34" s="219" t="s">
        <v>5</v>
      </c>
      <c r="AB34" s="114" t="str">
        <f>SingleCellExtract($T$8,$T$3:$U$12,2)</f>
        <v xml:space="preserve"> Ma, Ve, Sa</v>
      </c>
      <c r="AC34" s="69" t="str">
        <f>IF(MoStatus9="Malefic",SUBSTITUTE(AB34,"Mo","Malefic-Mo"),AB34)</f>
        <v xml:space="preserve"> Ma, Ve, Sa</v>
      </c>
      <c r="AD34" s="69" t="str">
        <f>IF(Me9BenMal="Malefic",SUBSTITUTE(AC34,"Me","Malefic-Me"),AC34)</f>
        <v xml:space="preserve"> Ma, Ve, Sa</v>
      </c>
      <c r="AE34" s="115">
        <f>MIN(IF(ISNUMBER(SEARCH({"Su","Ma","Sa","Ra","Ke","Malefic-Mo","Malefic-Me"},TRIM(AD34))),SEARCH({"Su","Ma","Sa","Ra","Ke","Malefic-Mo","Malefic-Me"},TRIM(AD34))))</f>
        <v>1</v>
      </c>
      <c r="AF34" s="117" t="str">
        <f t="shared" ref="AF34:AF36" si="15">IF(AE34=0,"Pure-Benefic","Impure")</f>
        <v>Impure</v>
      </c>
      <c r="AG34" s="134" t="str">
        <f t="shared" ref="AG34:AG36" si="16">AA34</f>
        <v>Ve</v>
      </c>
      <c r="AH34" s="35"/>
      <c r="AI34" s="35"/>
      <c r="AJ34" s="35"/>
      <c r="AK34" s="35"/>
      <c r="AL34" s="1"/>
      <c r="AM34" s="1"/>
      <c r="AN34" s="1"/>
      <c r="AO34" s="1"/>
      <c r="AP34" s="30"/>
      <c r="AQ34" s="34"/>
    </row>
    <row r="35" spans="1:48" ht="15.75" customHeight="1" x14ac:dyDescent="0.35">
      <c r="A35" s="99"/>
      <c r="B35" s="214" t="s">
        <v>1</v>
      </c>
      <c r="C35" s="118" t="str">
        <f>IF(moStatus="Benefic","Mo","Mo-Malefic")</f>
        <v>Mo</v>
      </c>
      <c r="D35" s="109" t="str">
        <f>SingleCellExtract($I$4,$I$3:$O$11,7)</f>
        <v xml:space="preserve"> Mo</v>
      </c>
      <c r="E35" s="69" t="str">
        <f>IF(moStatus="Malefic",SUBSTITUTE(D35,"Mo","Malefic-Mo"),D35)</f>
        <v xml:space="preserve"> Mo</v>
      </c>
      <c r="F35" s="69" t="str">
        <f>IF(Mestatus="Malefic",SUBSTITUTE(E35,"Me","Malefic-Me"),E35)</f>
        <v xml:space="preserve"> Mo</v>
      </c>
      <c r="G35" s="115">
        <f>MIN(IF(ISNUMBER(SEARCH({"Su","Ma","Sa","Ra","Ke","Malefic-Mo","Malefic-Me"},TRIM(F35))),SEARCH({"Su","Ma","Sa","Ra","Ke","Malefic-Mo","Malefic-Me"},TRIM(F35))))</f>
        <v>0</v>
      </c>
      <c r="H35" s="117" t="str">
        <f t="shared" si="13"/>
        <v>Pure-Benefic</v>
      </c>
      <c r="I35" s="134" t="str">
        <f t="shared" si="14"/>
        <v>Mo</v>
      </c>
      <c r="J35" s="349"/>
      <c r="K35" s="378"/>
      <c r="L35" s="88">
        <f>IF(L34+1=13,1,L34+1)</f>
        <v>8</v>
      </c>
      <c r="M35" s="79"/>
      <c r="N35" s="105"/>
      <c r="O35" s="79"/>
      <c r="P35" s="85">
        <f>IF(N31+1=13,1,N31+1)</f>
        <v>10</v>
      </c>
      <c r="Q35" s="382"/>
      <c r="S35" s="378"/>
      <c r="T35" s="88">
        <f>IF(MOD(MS34+1,12)=0,12,MOD(T34+1,12))</f>
        <v>7</v>
      </c>
      <c r="U35" s="79"/>
      <c r="V35" s="105"/>
      <c r="W35" s="79"/>
      <c r="X35" s="85">
        <f>IF(MOD(V32+1,12)=0,12,MOD(V32+1,12))</f>
        <v>9</v>
      </c>
      <c r="Y35" s="108"/>
      <c r="AA35" s="219" t="str">
        <f>IF(MoStatus9="Benefic","Mo","Mo-Malefic")</f>
        <v>Mo-Malefic</v>
      </c>
      <c r="AB35" s="114" t="str">
        <f>SingleCellExtract($T$4,$T$3:$U$12,2)</f>
        <v xml:space="preserve"> Mo, Ju</v>
      </c>
      <c r="AC35" s="69" t="str">
        <f>IF(MoStatus9="Malefic",SUBSTITUTE(AB35,"Mo","Malefic-Mo"),AB35)</f>
        <v xml:space="preserve"> Malefic-Mo, Ju</v>
      </c>
      <c r="AD35" s="69" t="str">
        <f>IF(Me9BenMal="Malefic",SUBSTITUTE(AC35,"Me","Malefic-Me"),AC35)</f>
        <v xml:space="preserve"> Malefic-Mo, Ju</v>
      </c>
      <c r="AE35" s="115">
        <f>MIN(IF(ISNUMBER(SEARCH({"Su","Ma","Sa","Ra","Ke","Malefic-Mo","Malefic-Me"},TRIM(AD35))),SEARCH({"Su","Ma","Sa","Ra","Ke","Malefic-Mo","Malefic-Me"},TRIM(AD35))))</f>
        <v>1</v>
      </c>
      <c r="AF35" s="117" t="str">
        <f t="shared" si="15"/>
        <v>Impure</v>
      </c>
      <c r="AG35" s="134" t="str">
        <f t="shared" si="16"/>
        <v>Mo-Malefic</v>
      </c>
      <c r="AH35" s="35"/>
      <c r="AI35" s="35"/>
      <c r="AJ35" s="35"/>
      <c r="AK35" s="35"/>
      <c r="AL35" s="1"/>
      <c r="AM35" s="1"/>
      <c r="AN35" s="1"/>
      <c r="AO35" s="1"/>
      <c r="AP35" s="30"/>
      <c r="AQ35" s="34"/>
    </row>
    <row r="36" spans="1:48" ht="15.75" customHeight="1" thickBot="1" x14ac:dyDescent="0.4">
      <c r="A36" s="99"/>
      <c r="B36" s="215" t="s">
        <v>3</v>
      </c>
      <c r="C36" s="119" t="str">
        <f>IF(MeBenMal="Benefic","Me","Me-Malefic")</f>
        <v>Me-Malefic</v>
      </c>
      <c r="D36" s="120" t="str">
        <f>SingleCellExtract($I$6,$I$3:$O$11,7)</f>
        <v xml:space="preserve"> Ma, Me</v>
      </c>
      <c r="E36" s="121" t="str">
        <f>IF(moStatus="Malefic",SUBSTITUTE(D36,"Mo","Malefic-Mo"),D36)</f>
        <v xml:space="preserve"> Ma, Me</v>
      </c>
      <c r="F36" s="121" t="str">
        <f>IF(Mestatus="Malefic",SUBSTITUTE(E36,"Me","Malefic-Me"),E36)</f>
        <v xml:space="preserve"> Ma, Malefic-Me</v>
      </c>
      <c r="G36" s="122">
        <f>MIN(IF(ISNUMBER(SEARCH({"Su","Ma","Sa","Ra","Ke","Malefic-Mo","Malefic-Me"},TRIM(F36))),SEARCH({"Su","Ma","Sa","Ra","Ke","Malefic-Mo","Malefic-Me"},TRIM(F36))))</f>
        <v>1</v>
      </c>
      <c r="H36" s="123" t="str">
        <f t="shared" si="13"/>
        <v>Impure</v>
      </c>
      <c r="I36" s="134" t="str">
        <f t="shared" si="14"/>
        <v>Me-Malefic</v>
      </c>
      <c r="J36" s="136"/>
      <c r="K36" s="78"/>
      <c r="L36" s="105"/>
      <c r="M36" s="79"/>
      <c r="N36" s="105"/>
      <c r="O36" s="79"/>
      <c r="P36" s="381" t="str">
        <f>INDEX($D$101:$D$112,MATCH(GetCountedSlot(8-1,"As",$O$3:$P$12),$C$101:$C$112,0),1)</f>
        <v/>
      </c>
      <c r="Q36" s="108"/>
      <c r="S36" s="78"/>
      <c r="T36" s="105" t="str">
        <f>INDEX($F$101:$F$112,MATCH(GetCountedSlot(6-1,"As",$U$3:$V$12),$E$101:$E$112,0),1)</f>
        <v/>
      </c>
      <c r="U36" s="79"/>
      <c r="V36" s="105"/>
      <c r="W36" s="79"/>
      <c r="X36" s="105" t="str">
        <f>INDEX($F$101:$F$112,MATCH(GetCountedSlot(8-1,"As",$U$3:$V$12),$E$101:$E$112,0),1)</f>
        <v/>
      </c>
      <c r="Y36" s="108"/>
      <c r="AA36" s="220" t="str">
        <f>IF(Me9BenMal="Benefic","Me","Me-Malefic")</f>
        <v>Me</v>
      </c>
      <c r="AB36" s="114" t="str">
        <f>SingleCellExtract($T$6,$T$3:$U$12,2)</f>
        <v xml:space="preserve"> Me</v>
      </c>
      <c r="AC36" s="121" t="str">
        <f>IF(MoStatus9="Malefic",SUBSTITUTE(AB36,"Mo","Malefic-Mo"),AB36)</f>
        <v xml:space="preserve"> Me</v>
      </c>
      <c r="AD36" s="121" t="str">
        <f>IF(Me9BenMal="Malefic",SUBSTITUTE(AC36,"Me","Malefic-Me"),AC36)</f>
        <v xml:space="preserve"> Me</v>
      </c>
      <c r="AE36" s="122">
        <f>MIN(IF(ISNUMBER(SEARCH({"Su","Ma","Sa","Ra","Ke","Malefic-Mo","Malefic-Me"},TRIM(AD36))),SEARCH({"Su","Ma","Sa","Ra","Ke","Malefic-Mo","Malefic-Me"},TRIM(AD36))))</f>
        <v>0</v>
      </c>
      <c r="AF36" s="123" t="str">
        <f t="shared" si="15"/>
        <v>Pure-Benefic</v>
      </c>
      <c r="AG36" s="134" t="str">
        <f t="shared" si="16"/>
        <v>Me</v>
      </c>
      <c r="AH36" s="35"/>
      <c r="AI36" s="35"/>
      <c r="AJ36" s="35"/>
      <c r="AK36" s="35"/>
      <c r="AL36" s="1"/>
      <c r="AM36" s="1"/>
      <c r="AN36" s="1"/>
      <c r="AO36" s="1"/>
      <c r="AP36" s="30"/>
      <c r="AQ36" s="34"/>
    </row>
    <row r="37" spans="1:48" ht="15.75" customHeight="1" x14ac:dyDescent="0.35">
      <c r="A37" s="99"/>
      <c r="B37" s="104"/>
      <c r="C37" s="101"/>
      <c r="D37" s="102"/>
      <c r="E37" s="103"/>
      <c r="F37" s="99"/>
      <c r="G37" s="99"/>
      <c r="H37" s="99"/>
      <c r="I37" s="27"/>
      <c r="J37" s="136"/>
      <c r="K37" s="78"/>
      <c r="L37" s="105" t="str">
        <f>INDEX($D$101:$D$112,MATCH(GetCountedSlot(6-1,"As",$O$3:$P$12),$C$101:$C$112,0),1)</f>
        <v xml:space="preserve"> Ra</v>
      </c>
      <c r="M37" s="79"/>
      <c r="N37" s="79"/>
      <c r="O37" s="79"/>
      <c r="P37" s="381"/>
      <c r="Q37" s="80"/>
      <c r="S37" s="78"/>
      <c r="T37" s="105"/>
      <c r="U37" s="79"/>
      <c r="V37" s="79"/>
      <c r="W37" s="79"/>
      <c r="X37" s="105"/>
      <c r="Y37" s="80"/>
      <c r="AF37" s="34"/>
      <c r="AG37" s="34"/>
      <c r="AH37" s="35"/>
      <c r="AI37" s="35"/>
      <c r="AJ37" s="35"/>
      <c r="AK37" s="35"/>
      <c r="AL37" s="1"/>
      <c r="AM37" s="1"/>
      <c r="AN37" s="1"/>
      <c r="AO37" s="1"/>
      <c r="AP37" s="30"/>
      <c r="AQ37" s="34"/>
    </row>
    <row r="38" spans="1:48" ht="15.75" customHeight="1" thickBot="1" x14ac:dyDescent="0.4">
      <c r="A38" s="99"/>
      <c r="B38" s="104"/>
      <c r="C38" s="185" t="s">
        <v>111</v>
      </c>
      <c r="D38" s="102"/>
      <c r="E38" s="340" t="s">
        <v>232</v>
      </c>
      <c r="F38" s="341">
        <v>72</v>
      </c>
      <c r="G38" s="99"/>
      <c r="H38" s="99"/>
      <c r="J38" s="136"/>
      <c r="K38" s="81"/>
      <c r="L38" s="106"/>
      <c r="M38" s="82"/>
      <c r="N38" s="82"/>
      <c r="O38" s="82"/>
      <c r="P38" s="383"/>
      <c r="Q38" s="83"/>
      <c r="S38" s="81"/>
      <c r="T38" s="106"/>
      <c r="U38" s="82"/>
      <c r="V38" s="82"/>
      <c r="W38" s="82"/>
      <c r="X38" s="106"/>
      <c r="Y38" s="83"/>
      <c r="AF38" s="34"/>
      <c r="AG38" s="34"/>
      <c r="AH38" s="35"/>
      <c r="AI38" s="35"/>
      <c r="AJ38" s="35"/>
      <c r="AK38" s="35"/>
      <c r="AL38" s="1"/>
      <c r="AM38" s="1"/>
      <c r="AN38" s="1"/>
      <c r="AO38" s="1"/>
      <c r="AP38" s="30"/>
      <c r="AQ38" s="34"/>
    </row>
    <row r="39" spans="1:48" ht="15.75" customHeight="1" thickBot="1" x14ac:dyDescent="0.3">
      <c r="A39" s="99" t="s">
        <v>236</v>
      </c>
      <c r="B39" s="99"/>
      <c r="C39" s="186" t="s">
        <v>112</v>
      </c>
      <c r="D39" s="99"/>
      <c r="E39" s="341" t="s">
        <v>233</v>
      </c>
      <c r="F39" s="341">
        <v>14</v>
      </c>
      <c r="G39" s="99"/>
      <c r="H39" s="99"/>
      <c r="AF39" s="34"/>
      <c r="AG39" s="34"/>
      <c r="AH39" s="35"/>
      <c r="AI39" s="35"/>
      <c r="AJ39" s="35"/>
      <c r="AK39" s="35"/>
      <c r="AL39" s="1"/>
      <c r="AM39" s="1"/>
      <c r="AN39" s="1"/>
      <c r="AO39" s="1"/>
      <c r="AP39" s="30"/>
      <c r="AQ39" s="34"/>
    </row>
    <row r="40" spans="1:48" ht="48.75" customHeight="1" thickTop="1" thickBot="1" x14ac:dyDescent="0.3">
      <c r="A40" s="184" t="s">
        <v>76</v>
      </c>
      <c r="B40" s="350" t="s">
        <v>201</v>
      </c>
      <c r="C40" s="351"/>
      <c r="D40" s="420" t="s">
        <v>147</v>
      </c>
      <c r="E40" s="421"/>
      <c r="F40" s="421"/>
      <c r="G40" s="422"/>
      <c r="H40" s="422"/>
      <c r="I40" s="423"/>
      <c r="J40" s="258"/>
      <c r="K40" s="99"/>
      <c r="L40" s="257" t="s">
        <v>148</v>
      </c>
      <c r="M40" s="379" t="s">
        <v>126</v>
      </c>
      <c r="N40" s="380"/>
      <c r="O40" s="432" t="s">
        <v>147</v>
      </c>
      <c r="P40" s="420"/>
      <c r="Q40" s="420"/>
      <c r="R40" s="433"/>
      <c r="S40" s="187"/>
      <c r="T40" s="187"/>
      <c r="Y40" s="99"/>
      <c r="AJ40" s="34"/>
      <c r="AK40" s="34"/>
      <c r="AL40" s="35"/>
      <c r="AM40" s="35"/>
      <c r="AN40" s="35"/>
      <c r="AO40" s="35"/>
      <c r="AP40" s="1"/>
      <c r="AQ40" s="1"/>
      <c r="AR40" s="1"/>
      <c r="AS40" s="1"/>
      <c r="AT40" s="30"/>
      <c r="AU40" s="34"/>
    </row>
    <row r="41" spans="1:48" ht="48.75" customHeight="1" thickTop="1" thickBot="1" x14ac:dyDescent="0.3">
      <c r="A41" s="325" t="s">
        <v>237</v>
      </c>
      <c r="B41" s="292" t="s">
        <v>200</v>
      </c>
      <c r="C41" s="291" t="s">
        <v>213</v>
      </c>
      <c r="D41" s="386" t="s">
        <v>217</v>
      </c>
      <c r="E41" s="386"/>
      <c r="F41" s="386"/>
      <c r="G41" s="387"/>
      <c r="H41" s="213" t="s">
        <v>209</v>
      </c>
      <c r="I41" s="261" t="s">
        <v>167</v>
      </c>
      <c r="J41" s="259" t="s">
        <v>183</v>
      </c>
      <c r="K41" s="99"/>
      <c r="L41" s="326" t="s">
        <v>238</v>
      </c>
      <c r="M41" s="418" t="s">
        <v>214</v>
      </c>
      <c r="N41" s="419"/>
      <c r="O41" s="427" t="s">
        <v>216</v>
      </c>
      <c r="P41" s="428"/>
      <c r="Q41" s="213" t="s">
        <v>209</v>
      </c>
      <c r="R41" s="261" t="s">
        <v>144</v>
      </c>
      <c r="S41" s="271" t="s">
        <v>183</v>
      </c>
      <c r="T41" s="27"/>
      <c r="U41" s="27"/>
      <c r="Z41" s="99"/>
      <c r="AK41" s="34"/>
      <c r="AL41" s="34"/>
      <c r="AM41" s="35"/>
      <c r="AN41" s="35"/>
      <c r="AO41" s="35"/>
      <c r="AP41" s="35"/>
      <c r="AQ41" s="1"/>
      <c r="AR41" s="1"/>
      <c r="AS41" s="1"/>
      <c r="AT41" s="1"/>
      <c r="AU41" s="30"/>
      <c r="AV41" s="34"/>
    </row>
    <row r="42" spans="1:48" ht="27" customHeight="1" thickTop="1" x14ac:dyDescent="0.25">
      <c r="A42" s="388" t="s">
        <v>151</v>
      </c>
      <c r="B42" s="336" t="s">
        <v>218</v>
      </c>
      <c r="C42" s="289"/>
      <c r="D42" s="358" t="s">
        <v>221</v>
      </c>
      <c r="E42" s="358"/>
      <c r="F42" s="359"/>
      <c r="G42" s="228"/>
      <c r="H42" s="393" t="s">
        <v>215</v>
      </c>
      <c r="I42" s="308" t="s">
        <v>4</v>
      </c>
      <c r="J42" s="312" t="s">
        <v>199</v>
      </c>
      <c r="K42" s="68"/>
      <c r="L42" s="388" t="s">
        <v>152</v>
      </c>
      <c r="M42" s="424" t="s">
        <v>210</v>
      </c>
      <c r="N42" s="228"/>
      <c r="O42" s="429" t="s">
        <v>211</v>
      </c>
      <c r="P42" s="228"/>
      <c r="Q42" s="393" t="s">
        <v>194</v>
      </c>
      <c r="R42" s="262" t="s">
        <v>3</v>
      </c>
      <c r="S42" s="314" t="s">
        <v>199</v>
      </c>
      <c r="T42" s="27"/>
      <c r="U42" s="27"/>
      <c r="W42" s="68"/>
      <c r="AI42" s="34"/>
      <c r="AJ42" s="34"/>
      <c r="AK42" s="35"/>
      <c r="AL42" s="35"/>
      <c r="AM42" s="35"/>
      <c r="AN42" s="35"/>
      <c r="AO42" s="1"/>
      <c r="AP42" s="1"/>
      <c r="AQ42" s="1"/>
      <c r="AR42" s="1"/>
      <c r="AS42" s="30"/>
      <c r="AT42" s="34"/>
    </row>
    <row r="43" spans="1:48" ht="15.75" customHeight="1" x14ac:dyDescent="0.25">
      <c r="A43" s="391"/>
      <c r="B43" s="337"/>
      <c r="C43" s="327"/>
      <c r="D43" s="352" t="s">
        <v>222</v>
      </c>
      <c r="E43" s="352"/>
      <c r="F43" s="353"/>
      <c r="G43" s="228"/>
      <c r="H43" s="394"/>
      <c r="I43" s="309" t="s">
        <v>1</v>
      </c>
      <c r="J43" s="313"/>
      <c r="K43" s="68"/>
      <c r="L43" s="391"/>
      <c r="M43" s="425"/>
      <c r="N43" s="306"/>
      <c r="O43" s="430"/>
      <c r="P43" s="228"/>
      <c r="Q43" s="394"/>
      <c r="R43" s="263"/>
      <c r="S43" s="315" t="str">
        <f>SingleCellExtract("Pure-Benefic",AF33:AG36,2)</f>
        <v xml:space="preserve"> Me</v>
      </c>
      <c r="T43" s="27"/>
      <c r="U43" s="27"/>
      <c r="W43" s="68"/>
      <c r="AI43" s="34"/>
      <c r="AJ43" s="34"/>
      <c r="AK43" s="35"/>
      <c r="AL43" s="35"/>
      <c r="AM43" s="35"/>
      <c r="AN43" s="35"/>
      <c r="AO43" s="1"/>
      <c r="AP43" s="1"/>
      <c r="AQ43" s="1"/>
      <c r="AR43" s="1"/>
      <c r="AS43" s="30"/>
      <c r="AT43" s="34"/>
    </row>
    <row r="44" spans="1:48" ht="15.75" customHeight="1" thickBot="1" x14ac:dyDescent="0.3">
      <c r="A44" s="391"/>
      <c r="B44" s="338"/>
      <c r="C44" s="307"/>
      <c r="D44" s="373"/>
      <c r="E44" s="374"/>
      <c r="F44" s="375"/>
      <c r="G44" s="321"/>
      <c r="H44" s="394"/>
      <c r="I44" s="309"/>
      <c r="J44" s="313" t="str">
        <f>(SingleCellExtract("Pure-Benefic",$H$33:$I$37,2))</f>
        <v xml:space="preserve"> Ju, Mo</v>
      </c>
      <c r="K44" s="68"/>
      <c r="L44" s="391"/>
      <c r="M44" s="425"/>
      <c r="N44" s="307"/>
      <c r="O44" s="430"/>
      <c r="P44" s="321"/>
      <c r="Q44" s="394"/>
      <c r="R44" s="263"/>
      <c r="S44" s="272"/>
      <c r="T44" s="27"/>
      <c r="U44" s="27"/>
      <c r="W44" s="68"/>
      <c r="AI44" s="34"/>
      <c r="AJ44" s="34"/>
      <c r="AK44" s="35"/>
      <c r="AL44" s="35"/>
      <c r="AM44" s="35"/>
      <c r="AN44" s="35"/>
      <c r="AO44" s="1"/>
      <c r="AP44" s="1"/>
      <c r="AQ44" s="1"/>
      <c r="AR44" s="1"/>
      <c r="AS44" s="30"/>
      <c r="AT44" s="34"/>
    </row>
    <row r="45" spans="1:48" ht="15.75" customHeight="1" thickBot="1" x14ac:dyDescent="0.3">
      <c r="A45" s="392"/>
      <c r="B45" s="339" t="s">
        <v>219</v>
      </c>
      <c r="C45" s="289" t="s">
        <v>111</v>
      </c>
      <c r="D45" s="352" t="s">
        <v>220</v>
      </c>
      <c r="E45" s="352"/>
      <c r="F45" s="353"/>
      <c r="G45" s="228" t="s">
        <v>5</v>
      </c>
      <c r="H45" s="395"/>
      <c r="I45" s="310"/>
      <c r="J45" s="311"/>
      <c r="K45" s="68"/>
      <c r="L45" s="392"/>
      <c r="M45" s="425"/>
      <c r="N45" s="228"/>
      <c r="O45" s="430"/>
      <c r="P45" s="228"/>
      <c r="Q45" s="394"/>
      <c r="R45" s="264"/>
      <c r="S45" s="273"/>
      <c r="T45" s="27"/>
      <c r="U45" s="27"/>
      <c r="W45" s="68"/>
      <c r="AI45" s="34"/>
      <c r="AJ45" s="34"/>
      <c r="AK45" s="35"/>
      <c r="AL45" s="35"/>
      <c r="AM45" s="35"/>
      <c r="AN45" s="35"/>
      <c r="AO45" s="1"/>
      <c r="AP45" s="1"/>
      <c r="AQ45" s="1"/>
      <c r="AR45" s="1"/>
      <c r="AS45" s="30"/>
      <c r="AT45" s="34"/>
    </row>
    <row r="46" spans="1:48" ht="15.75" customHeight="1" x14ac:dyDescent="0.25">
      <c r="A46" s="388" t="s">
        <v>145</v>
      </c>
      <c r="B46" s="279" t="s">
        <v>186</v>
      </c>
      <c r="C46" s="289" t="s">
        <v>111</v>
      </c>
      <c r="D46" s="354" t="s">
        <v>184</v>
      </c>
      <c r="E46" s="354"/>
      <c r="F46" s="355"/>
      <c r="G46" s="189" t="s">
        <v>5</v>
      </c>
      <c r="H46" s="222" t="s">
        <v>111</v>
      </c>
      <c r="I46" s="265"/>
      <c r="J46" s="189" t="str">
        <f>"HP=" &amp; INDEX(Signs,IF(MOD(I12+7-1,12)=0,12,MOD(I12+7-1,12)),)</f>
        <v>HP=Sg</v>
      </c>
      <c r="K46" s="68"/>
      <c r="L46" s="388" t="s">
        <v>149</v>
      </c>
      <c r="M46" s="425"/>
      <c r="N46" s="246"/>
      <c r="O46" s="430"/>
      <c r="P46" s="232"/>
      <c r="Q46" s="297"/>
      <c r="R46" s="294"/>
      <c r="S46" s="193" t="str">
        <f>"HP=" &amp; INDEX(Signs,IF(MOD(T12+7-1,12)=0,12,MOD(T12+7-1,12)),)</f>
        <v>HP=Sc</v>
      </c>
      <c r="T46" s="27"/>
      <c r="U46" s="27"/>
      <c r="W46" s="68"/>
      <c r="AH46" s="34"/>
      <c r="AI46" s="34"/>
      <c r="AJ46" s="35"/>
      <c r="AK46" s="35"/>
      <c r="AL46" s="35"/>
      <c r="AM46" s="35"/>
      <c r="AN46" s="1"/>
      <c r="AO46" s="1"/>
      <c r="AP46" s="1"/>
      <c r="AQ46" s="1"/>
      <c r="AR46" s="30"/>
      <c r="AS46" s="34"/>
    </row>
    <row r="47" spans="1:48" ht="15.75" customHeight="1" x14ac:dyDescent="0.25">
      <c r="A47" s="389"/>
      <c r="B47" s="280" t="s">
        <v>187</v>
      </c>
      <c r="C47" s="290"/>
      <c r="D47" s="356" t="s">
        <v>185</v>
      </c>
      <c r="E47" s="356"/>
      <c r="F47" s="357"/>
      <c r="G47" s="188"/>
      <c r="H47" s="223" t="s">
        <v>111</v>
      </c>
      <c r="I47" s="266"/>
      <c r="J47" s="188" t="str">
        <f>"HPL=" &amp;INDEX(SignLords,IF(MOD(I12+7-1,12)=0,12,MOD(I12+7-1,12)),)</f>
        <v>HPL=Ju</v>
      </c>
      <c r="K47" s="68"/>
      <c r="L47" s="391"/>
      <c r="M47" s="425"/>
      <c r="N47" s="236" t="s">
        <v>111</v>
      </c>
      <c r="O47" s="430"/>
      <c r="P47" s="231" t="s">
        <v>5</v>
      </c>
      <c r="Q47" s="298"/>
      <c r="R47" s="295"/>
      <c r="S47" s="188" t="str">
        <f>"HPL=" &amp;INDEX(SignLords,IF(MOD(T12+7-1,12)=0,12,MOD(T12+7-1,12)),)</f>
        <v>HPL=Ma</v>
      </c>
      <c r="T47" s="27"/>
      <c r="U47" s="27"/>
      <c r="W47" s="68"/>
      <c r="AH47" s="34"/>
      <c r="AI47" s="34"/>
      <c r="AJ47" s="35"/>
      <c r="AK47" s="35"/>
      <c r="AL47" s="35"/>
      <c r="AM47" s="35"/>
      <c r="AN47" s="1"/>
      <c r="AO47" s="1"/>
      <c r="AP47" s="1"/>
      <c r="AQ47" s="1"/>
      <c r="AR47" s="30"/>
      <c r="AS47" s="34"/>
    </row>
    <row r="48" spans="1:48" ht="15.75" customHeight="1" x14ac:dyDescent="0.25">
      <c r="A48" s="396" t="s">
        <v>240</v>
      </c>
      <c r="B48" s="281" t="s">
        <v>188</v>
      </c>
      <c r="C48" s="328"/>
      <c r="D48" s="412" t="s">
        <v>169</v>
      </c>
      <c r="E48" s="412"/>
      <c r="F48" s="413"/>
      <c r="G48" s="190"/>
      <c r="H48" s="223"/>
      <c r="I48" s="266"/>
      <c r="J48" s="190" t="str">
        <f>"7L=" &amp;INDEX(SignLords,IF(MOD(I12+7-1,12)=0,12,MOD(I12+7-1,12)),)</f>
        <v>7L=Ju</v>
      </c>
      <c r="K48" s="68"/>
      <c r="L48" s="391"/>
      <c r="M48" s="425"/>
      <c r="N48" s="247"/>
      <c r="O48" s="430"/>
      <c r="P48" s="234"/>
      <c r="Q48" s="298"/>
      <c r="R48" s="295"/>
      <c r="S48" s="190" t="str">
        <f>"7L=" &amp;INDEX(SignLords,IF(MOD(T12+7-1,12)=0,12,MOD(T12+7-1,12)),)</f>
        <v>7L=Ma</v>
      </c>
      <c r="T48" s="27"/>
      <c r="U48" s="27"/>
      <c r="W48" s="68"/>
      <c r="AH48" s="34"/>
      <c r="AI48" s="34"/>
      <c r="AJ48" s="35"/>
      <c r="AK48" s="35"/>
      <c r="AL48" s="35"/>
      <c r="AM48" s="35"/>
      <c r="AN48" s="1"/>
      <c r="AO48" s="1"/>
      <c r="AP48" s="1"/>
      <c r="AQ48" s="1"/>
      <c r="AR48" s="30"/>
      <c r="AS48" s="34"/>
    </row>
    <row r="49" spans="1:42" ht="15.75" customHeight="1" x14ac:dyDescent="0.25">
      <c r="A49" s="397"/>
      <c r="B49" s="281" t="s">
        <v>189</v>
      </c>
      <c r="C49" s="328"/>
      <c r="D49" s="412" t="s">
        <v>170</v>
      </c>
      <c r="E49" s="412"/>
      <c r="F49" s="413"/>
      <c r="G49" s="190"/>
      <c r="H49" s="223"/>
      <c r="I49" s="266"/>
      <c r="J49" s="190" t="str">
        <f>"5L=" &amp; INDEX(SignLords,IF(MOD(I12+5-1,12)=0,12,MOD(I12+5-1,12)),)</f>
        <v>5L=Ve</v>
      </c>
      <c r="K49" s="68"/>
      <c r="L49" s="391"/>
      <c r="M49" s="425"/>
      <c r="N49" s="247"/>
      <c r="O49" s="430"/>
      <c r="P49" s="234"/>
      <c r="Q49" s="298"/>
      <c r="R49" s="295"/>
      <c r="S49" s="190" t="str">
        <f>"5L=" &amp; INDEX(SignLords,IF(MOD(T12+5-1,12)=0,12,MOD(T12+5-1,12)),)</f>
        <v>5L=Me</v>
      </c>
      <c r="T49" s="27"/>
      <c r="U49" s="27"/>
      <c r="W49" s="68"/>
      <c r="AE49" s="34"/>
      <c r="AF49" s="34"/>
      <c r="AG49" s="35"/>
      <c r="AH49" s="35"/>
      <c r="AI49" s="35"/>
      <c r="AJ49" s="35"/>
      <c r="AK49" s="1"/>
      <c r="AL49" s="1"/>
      <c r="AM49" s="1"/>
      <c r="AN49" s="1"/>
      <c r="AO49" s="30"/>
      <c r="AP49" s="34"/>
    </row>
    <row r="50" spans="1:42" ht="15.75" customHeight="1" x14ac:dyDescent="0.25">
      <c r="A50" s="397"/>
      <c r="B50" s="281" t="s">
        <v>190</v>
      </c>
      <c r="C50" s="328"/>
      <c r="D50" s="412" t="s">
        <v>170</v>
      </c>
      <c r="E50" s="412"/>
      <c r="F50" s="413"/>
      <c r="G50" s="190"/>
      <c r="H50" s="223"/>
      <c r="I50" s="266"/>
      <c r="J50" s="190"/>
      <c r="K50" s="68"/>
      <c r="L50" s="391"/>
      <c r="M50" s="425"/>
      <c r="N50" s="247"/>
      <c r="O50" s="430"/>
      <c r="P50" s="234"/>
      <c r="Q50" s="298"/>
      <c r="R50" s="295"/>
      <c r="S50" s="190"/>
      <c r="T50" s="27"/>
      <c r="U50" s="27"/>
      <c r="W50" s="68"/>
      <c r="AE50" s="34"/>
      <c r="AF50" s="34"/>
      <c r="AG50" s="35"/>
      <c r="AH50" s="35"/>
      <c r="AI50" s="35"/>
      <c r="AJ50" s="35"/>
      <c r="AK50" s="1"/>
      <c r="AL50" s="1"/>
      <c r="AM50" s="1"/>
      <c r="AN50" s="1"/>
      <c r="AO50" s="30"/>
      <c r="AP50" s="34"/>
    </row>
    <row r="51" spans="1:42" ht="15.75" customHeight="1" x14ac:dyDescent="0.25">
      <c r="A51" s="398" t="s">
        <v>241</v>
      </c>
      <c r="B51" s="282" t="s">
        <v>191</v>
      </c>
      <c r="C51" s="329"/>
      <c r="D51" s="408" t="s">
        <v>171</v>
      </c>
      <c r="E51" s="408"/>
      <c r="F51" s="409"/>
      <c r="G51" s="191"/>
      <c r="H51" s="223"/>
      <c r="I51" s="266"/>
      <c r="J51" s="191" t="str">
        <f>"LL=" &amp; INDEX(SignLords,I12,)</f>
        <v>LL=Me</v>
      </c>
      <c r="K51" s="68"/>
      <c r="L51" s="391"/>
      <c r="M51" s="425"/>
      <c r="N51" s="248"/>
      <c r="O51" s="430"/>
      <c r="P51" s="233"/>
      <c r="Q51" s="298"/>
      <c r="R51" s="295"/>
      <c r="S51" s="191" t="str">
        <f>"LL=" &amp; INDEX(SignLords,T12,)</f>
        <v>LL=Ve</v>
      </c>
      <c r="T51" s="27"/>
      <c r="U51" s="27"/>
      <c r="W51" s="68"/>
      <c r="AE51" s="34"/>
      <c r="AF51" s="34"/>
      <c r="AG51" s="35"/>
      <c r="AH51" s="35"/>
      <c r="AI51" s="35"/>
      <c r="AJ51" s="35"/>
      <c r="AK51" s="1"/>
      <c r="AL51" s="1"/>
      <c r="AM51" s="1"/>
      <c r="AN51" s="1"/>
      <c r="AO51" s="30"/>
      <c r="AP51" s="34"/>
    </row>
    <row r="52" spans="1:42" ht="15.75" customHeight="1" x14ac:dyDescent="0.25">
      <c r="A52" s="399"/>
      <c r="B52" s="282" t="s">
        <v>192</v>
      </c>
      <c r="C52" s="329" t="s">
        <v>111</v>
      </c>
      <c r="D52" s="408" t="s">
        <v>172</v>
      </c>
      <c r="E52" s="408"/>
      <c r="F52" s="409"/>
      <c r="G52" s="191"/>
      <c r="H52" s="223"/>
      <c r="I52" s="266"/>
      <c r="J52" s="191" t="str">
        <f>"11L=" &amp;INDEX(SignLords,IF(MOD(I12+11-1,12)=0,12,MOD(I12+11-1,12)),)</f>
        <v>11L=Ma</v>
      </c>
      <c r="K52" s="68"/>
      <c r="L52" s="391"/>
      <c r="M52" s="425"/>
      <c r="N52" s="248"/>
      <c r="O52" s="430"/>
      <c r="P52" s="233"/>
      <c r="Q52" s="298"/>
      <c r="R52" s="295"/>
      <c r="S52" s="191" t="str">
        <f>"11L=" &amp;INDEX(SignLords,IF(MOD(T12+11-1,12)=0,12,MOD(T12+11-1,12)),)</f>
        <v>11L=Ju</v>
      </c>
      <c r="T52" s="27"/>
      <c r="U52" s="27"/>
      <c r="W52" s="68"/>
      <c r="AE52" s="34"/>
      <c r="AF52" s="34"/>
      <c r="AG52" s="35"/>
      <c r="AH52" s="35"/>
      <c r="AI52" s="35"/>
      <c r="AJ52" s="35"/>
      <c r="AK52" s="1"/>
      <c r="AL52" s="1"/>
      <c r="AM52" s="1"/>
      <c r="AN52" s="1"/>
      <c r="AO52" s="30"/>
      <c r="AP52" s="34"/>
    </row>
    <row r="53" spans="1:42" ht="15.75" customHeight="1" x14ac:dyDescent="0.25">
      <c r="A53" s="399"/>
      <c r="B53" s="282" t="s">
        <v>193</v>
      </c>
      <c r="C53" s="329"/>
      <c r="D53" s="408" t="s">
        <v>173</v>
      </c>
      <c r="E53" s="408"/>
      <c r="F53" s="409"/>
      <c r="G53" s="191"/>
      <c r="H53" s="223"/>
      <c r="I53" s="266"/>
      <c r="J53" s="191"/>
      <c r="K53" s="68"/>
      <c r="L53" s="391"/>
      <c r="M53" s="425"/>
      <c r="N53" s="248"/>
      <c r="O53" s="430"/>
      <c r="P53" s="233"/>
      <c r="Q53" s="298"/>
      <c r="R53" s="295"/>
      <c r="S53" s="191"/>
      <c r="T53" s="27"/>
      <c r="U53" s="27"/>
      <c r="W53" s="68"/>
      <c r="AE53" s="34"/>
      <c r="AF53" s="34"/>
      <c r="AG53" s="35"/>
      <c r="AH53" s="35"/>
      <c r="AI53" s="35"/>
      <c r="AJ53" s="35"/>
      <c r="AK53" s="1"/>
      <c r="AL53" s="1"/>
      <c r="AM53" s="1"/>
      <c r="AN53" s="1"/>
      <c r="AO53" s="30"/>
      <c r="AP53" s="34"/>
    </row>
    <row r="54" spans="1:42" ht="15.75" customHeight="1" x14ac:dyDescent="0.25">
      <c r="A54" s="399"/>
      <c r="B54" s="282" t="s">
        <v>154</v>
      </c>
      <c r="C54" s="329"/>
      <c r="D54" s="400" t="s">
        <v>174</v>
      </c>
      <c r="E54" s="400"/>
      <c r="F54" s="401"/>
      <c r="G54" s="191"/>
      <c r="H54" s="223"/>
      <c r="I54" s="266"/>
      <c r="J54" s="191"/>
      <c r="K54" s="68"/>
      <c r="L54" s="391"/>
      <c r="M54" s="425"/>
      <c r="N54" s="248"/>
      <c r="O54" s="430"/>
      <c r="P54" s="233"/>
      <c r="Q54" s="298"/>
      <c r="R54" s="295"/>
      <c r="S54" s="191"/>
      <c r="T54" s="27"/>
      <c r="U54" s="27"/>
      <c r="W54" s="68"/>
      <c r="AE54" s="34"/>
      <c r="AF54" s="34"/>
      <c r="AG54" s="35"/>
      <c r="AH54" s="35"/>
      <c r="AI54" s="35"/>
      <c r="AJ54" s="35"/>
      <c r="AK54" s="1"/>
      <c r="AL54" s="1"/>
      <c r="AM54" s="1"/>
      <c r="AN54" s="1"/>
      <c r="AO54" s="30"/>
      <c r="AP54" s="34"/>
    </row>
    <row r="55" spans="1:42" ht="15.75" customHeight="1" x14ac:dyDescent="0.25">
      <c r="A55" s="399"/>
      <c r="B55" s="282" t="s">
        <v>99</v>
      </c>
      <c r="C55" s="329"/>
      <c r="D55" s="402"/>
      <c r="E55" s="402"/>
      <c r="F55" s="403"/>
      <c r="G55" s="191"/>
      <c r="H55" s="223"/>
      <c r="I55" s="266"/>
      <c r="J55" s="191" t="str">
        <f>"Lagna="&amp;P12</f>
        <v>Lagna=Ge</v>
      </c>
      <c r="K55" s="68"/>
      <c r="L55" s="391"/>
      <c r="M55" s="425"/>
      <c r="N55" s="248"/>
      <c r="O55" s="430"/>
      <c r="P55" s="233"/>
      <c r="Q55" s="298"/>
      <c r="R55" s="295"/>
      <c r="S55" s="191" t="str">
        <f>"Lagna="&amp;V12</f>
        <v>Lagna=Ta</v>
      </c>
      <c r="T55" s="27"/>
      <c r="U55" s="27"/>
      <c r="W55" s="68"/>
      <c r="AE55" s="34"/>
      <c r="AF55" s="34"/>
      <c r="AG55" s="35"/>
      <c r="AH55" s="35"/>
      <c r="AI55" s="35"/>
      <c r="AJ55" s="35"/>
      <c r="AK55" s="1"/>
      <c r="AL55" s="1"/>
      <c r="AM55" s="1"/>
      <c r="AN55" s="1"/>
      <c r="AO55" s="30"/>
      <c r="AP55" s="34"/>
    </row>
    <row r="56" spans="1:42" ht="15.75" customHeight="1" x14ac:dyDescent="0.25">
      <c r="A56" s="399"/>
      <c r="B56" s="282" t="s">
        <v>100</v>
      </c>
      <c r="C56" s="329"/>
      <c r="D56" s="404"/>
      <c r="E56" s="404"/>
      <c r="F56" s="405"/>
      <c r="G56" s="191"/>
      <c r="H56" s="223"/>
      <c r="I56" s="266"/>
      <c r="J56" s="191" t="str">
        <f>"11th="&amp; INDEX(Signs,IF(MOD(I12+11-1,12)=0,12,MOD(I12+11-1,12)),)</f>
        <v>11th=Ar</v>
      </c>
      <c r="K56" s="68"/>
      <c r="L56" s="391"/>
      <c r="M56" s="425"/>
      <c r="N56" s="248"/>
      <c r="O56" s="430"/>
      <c r="P56" s="233"/>
      <c r="Q56" s="298"/>
      <c r="R56" s="295"/>
      <c r="S56" s="191" t="str">
        <f>"11th="&amp; INDEX(Signs,IF(MOD(T12+11-1,12)=0,12,MOD(T12+11-1,12)),)</f>
        <v>11th=Pi</v>
      </c>
      <c r="T56" s="27"/>
      <c r="U56" s="27"/>
      <c r="W56" s="68"/>
      <c r="AE56" s="34"/>
      <c r="AF56" s="34"/>
      <c r="AG56" s="35"/>
      <c r="AH56" s="35"/>
      <c r="AI56" s="35"/>
      <c r="AJ56" s="35"/>
      <c r="AK56" s="1"/>
      <c r="AL56" s="1"/>
      <c r="AM56" s="1"/>
      <c r="AN56" s="1"/>
      <c r="AO56" s="30"/>
      <c r="AP56" s="34"/>
    </row>
    <row r="57" spans="1:42" ht="15.75" customHeight="1" x14ac:dyDescent="0.25">
      <c r="A57" s="399"/>
      <c r="B57" s="282" t="s">
        <v>166</v>
      </c>
      <c r="C57" s="329"/>
      <c r="D57" s="408" t="s">
        <v>175</v>
      </c>
      <c r="E57" s="408"/>
      <c r="F57" s="409"/>
      <c r="G57" s="191"/>
      <c r="H57" s="223"/>
      <c r="I57" s="266"/>
      <c r="J57" s="191"/>
      <c r="K57" s="68"/>
      <c r="L57" s="391"/>
      <c r="M57" s="425"/>
      <c r="N57" s="248"/>
      <c r="O57" s="430"/>
      <c r="P57" s="233"/>
      <c r="Q57" s="298"/>
      <c r="R57" s="295"/>
      <c r="S57" s="191"/>
      <c r="T57" s="27"/>
      <c r="U57" s="27"/>
      <c r="W57" s="68"/>
      <c r="AE57" s="34"/>
      <c r="AF57" s="34"/>
      <c r="AG57" s="35"/>
      <c r="AH57" s="35"/>
      <c r="AI57" s="35"/>
      <c r="AJ57" s="35"/>
      <c r="AK57" s="1"/>
      <c r="AL57" s="1"/>
      <c r="AM57" s="1"/>
      <c r="AN57" s="1"/>
      <c r="AO57" s="30"/>
      <c r="AP57" s="34"/>
    </row>
    <row r="58" spans="1:42" ht="15.75" customHeight="1" thickBot="1" x14ac:dyDescent="0.3">
      <c r="A58" s="255" t="s">
        <v>158</v>
      </c>
      <c r="B58" s="283" t="s">
        <v>244</v>
      </c>
      <c r="C58" s="330"/>
      <c r="D58" s="414"/>
      <c r="E58" s="414"/>
      <c r="F58" s="415"/>
      <c r="G58" s="192"/>
      <c r="H58" s="224"/>
      <c r="I58" s="267"/>
      <c r="J58" s="192"/>
      <c r="K58" s="68"/>
      <c r="L58" s="392"/>
      <c r="M58" s="425"/>
      <c r="N58" s="249"/>
      <c r="O58" s="430"/>
      <c r="P58" s="293"/>
      <c r="Q58" s="298"/>
      <c r="R58" s="296"/>
      <c r="S58" s="192"/>
      <c r="T58" s="27"/>
      <c r="U58" s="27"/>
      <c r="W58" s="68"/>
      <c r="AE58" s="34"/>
      <c r="AF58" s="34"/>
      <c r="AG58" s="35"/>
      <c r="AH58" s="35"/>
      <c r="AI58" s="35"/>
      <c r="AJ58" s="35"/>
      <c r="AK58" s="1"/>
      <c r="AL58" s="1"/>
      <c r="AM58" s="1"/>
      <c r="AN58" s="1"/>
      <c r="AO58" s="30"/>
      <c r="AP58" s="34"/>
    </row>
    <row r="59" spans="1:42" ht="15.75" customHeight="1" x14ac:dyDescent="0.25">
      <c r="A59" s="390" t="s">
        <v>146</v>
      </c>
      <c r="B59" s="284" t="s">
        <v>156</v>
      </c>
      <c r="C59" s="331"/>
      <c r="D59" s="416" t="s">
        <v>153</v>
      </c>
      <c r="E59" s="416"/>
      <c r="F59" s="417"/>
      <c r="G59" s="241"/>
      <c r="H59" s="222"/>
      <c r="I59" s="262"/>
      <c r="J59" s="189" t="str">
        <f>"HP=" &amp; INDEX(Signs,IF(MOD(I4+7-1,12)=0,12,MOD(I4+7-1,12)),)</f>
        <v>HP=Vi</v>
      </c>
      <c r="K59" s="68"/>
      <c r="L59" s="391" t="s">
        <v>150</v>
      </c>
      <c r="M59" s="425"/>
      <c r="N59" s="250"/>
      <c r="O59" s="430"/>
      <c r="P59" s="300"/>
      <c r="Q59" s="297"/>
      <c r="R59" s="294"/>
      <c r="S59" s="189" t="str">
        <f>"HP=" &amp; INDEX(Signs,IF(MOD(T4+7-1,12)=0,12,MOD(T4+7-1,12)),)</f>
        <v>HP=Ta</v>
      </c>
      <c r="T59" s="27"/>
      <c r="U59" s="27"/>
      <c r="W59" s="68"/>
      <c r="AE59" s="34"/>
      <c r="AF59" s="34"/>
      <c r="AG59" s="35"/>
      <c r="AH59" s="35"/>
      <c r="AI59" s="35"/>
      <c r="AJ59" s="35"/>
      <c r="AK59" s="1"/>
      <c r="AL59" s="1"/>
      <c r="AM59" s="1"/>
      <c r="AN59" s="1"/>
      <c r="AO59" s="30"/>
      <c r="AP59" s="34"/>
    </row>
    <row r="60" spans="1:42" ht="15.75" customHeight="1" x14ac:dyDescent="0.25">
      <c r="A60" s="390"/>
      <c r="B60" s="280" t="s">
        <v>155</v>
      </c>
      <c r="C60" s="290"/>
      <c r="D60" s="356" t="s">
        <v>142</v>
      </c>
      <c r="E60" s="356"/>
      <c r="F60" s="357"/>
      <c r="G60" s="229"/>
      <c r="H60" s="223"/>
      <c r="I60" s="263"/>
      <c r="J60" s="188" t="str">
        <f>"HPL=" &amp;INDEX(SignLords,IF(MOD(I4+7-1,12)=0,12,MOD(I4+7-1,12)),)</f>
        <v>HPL=Me</v>
      </c>
      <c r="K60" s="68"/>
      <c r="L60" s="391"/>
      <c r="M60" s="425"/>
      <c r="N60" s="251"/>
      <c r="O60" s="430"/>
      <c r="P60" s="231"/>
      <c r="Q60" s="298"/>
      <c r="R60" s="295"/>
      <c r="S60" s="188" t="str">
        <f>"HPL=" &amp;INDEX(SignLords,IF(MOD(T4+7-1,12)=0,12,MOD(T4+7-1,12)),)</f>
        <v>HPL=Ve</v>
      </c>
      <c r="T60" s="27"/>
      <c r="U60" s="27"/>
      <c r="W60" s="68"/>
      <c r="AE60" s="34"/>
      <c r="AF60" s="34"/>
      <c r="AG60" s="35"/>
      <c r="AH60" s="35"/>
      <c r="AI60" s="35"/>
      <c r="AJ60" s="35"/>
      <c r="AK60" s="1"/>
      <c r="AL60" s="1"/>
      <c r="AM60" s="1"/>
      <c r="AN60" s="1"/>
      <c r="AO60" s="30"/>
      <c r="AP60" s="34"/>
    </row>
    <row r="61" spans="1:42" ht="15.75" customHeight="1" x14ac:dyDescent="0.25">
      <c r="A61" s="396" t="s">
        <v>242</v>
      </c>
      <c r="B61" s="281" t="s">
        <v>101</v>
      </c>
      <c r="C61" s="328" t="s">
        <v>111</v>
      </c>
      <c r="D61" s="367" t="s">
        <v>157</v>
      </c>
      <c r="E61" s="367"/>
      <c r="F61" s="368"/>
      <c r="G61" s="226" t="s">
        <v>234</v>
      </c>
      <c r="H61" s="223"/>
      <c r="I61" s="263"/>
      <c r="J61" s="190" t="str">
        <f>"7L=" &amp;INDEX(SignLords,IF(MOD(I4+7-1,12)=0,12,MOD(I4+7-1,12)),)</f>
        <v>7L=Me</v>
      </c>
      <c r="K61" s="68"/>
      <c r="L61" s="391"/>
      <c r="M61" s="425"/>
      <c r="N61" s="247"/>
      <c r="O61" s="430"/>
      <c r="P61" s="234" t="s">
        <v>2</v>
      </c>
      <c r="Q61" s="298"/>
      <c r="R61" s="295"/>
      <c r="S61" s="190" t="str">
        <f>"7L=" &amp;INDEX(SignLords,IF(MOD(T4+7-1,12)=0,12,MOD(T4+7-1,12)),)</f>
        <v>7L=Ve</v>
      </c>
      <c r="T61" s="27"/>
      <c r="U61" s="27"/>
      <c r="W61" s="68"/>
      <c r="AE61" s="34"/>
      <c r="AF61" s="34"/>
      <c r="AG61" s="35"/>
      <c r="AH61" s="35"/>
      <c r="AI61" s="35"/>
      <c r="AJ61" s="35"/>
      <c r="AK61" s="1"/>
      <c r="AL61" s="1"/>
      <c r="AM61" s="1"/>
      <c r="AN61" s="1"/>
      <c r="AO61" s="30"/>
      <c r="AP61" s="34"/>
    </row>
    <row r="62" spans="1:42" ht="15.75" customHeight="1" x14ac:dyDescent="0.25">
      <c r="A62" s="397"/>
      <c r="B62" s="281" t="s">
        <v>102</v>
      </c>
      <c r="C62" s="328"/>
      <c r="D62" s="367" t="s">
        <v>168</v>
      </c>
      <c r="E62" s="367"/>
      <c r="F62" s="368"/>
      <c r="G62" s="226"/>
      <c r="H62" s="223"/>
      <c r="I62" s="263"/>
      <c r="J62" s="190" t="str">
        <f>"5L=" &amp; INDEX(SignLords,IF(MOD(I4+5-1,12)=0,12,MOD(I4+5-1,12)),)</f>
        <v>5L=Mo</v>
      </c>
      <c r="K62" s="68"/>
      <c r="L62" s="391"/>
      <c r="M62" s="425"/>
      <c r="N62" s="247"/>
      <c r="O62" s="430"/>
      <c r="P62" s="234"/>
      <c r="Q62" s="298"/>
      <c r="R62" s="295"/>
      <c r="S62" s="190" t="str">
        <f>"5L=" &amp; INDEX(SignLords,IF(MOD(T4+5-1,12)=0,12,MOD(T4+5-1,12)),)</f>
        <v>5L=Ju</v>
      </c>
      <c r="T62" s="27"/>
      <c r="U62" s="27"/>
      <c r="W62" s="68"/>
      <c r="AE62" s="34"/>
      <c r="AF62" s="34"/>
      <c r="AG62" s="35"/>
      <c r="AH62" s="35"/>
      <c r="AI62" s="35"/>
      <c r="AJ62" s="35"/>
      <c r="AK62" s="1"/>
      <c r="AL62" s="1"/>
      <c r="AM62" s="1"/>
      <c r="AN62" s="1"/>
      <c r="AO62" s="30"/>
      <c r="AP62" s="34"/>
    </row>
    <row r="63" spans="1:42" ht="15.75" customHeight="1" x14ac:dyDescent="0.25">
      <c r="A63" s="397"/>
      <c r="B63" s="285" t="s">
        <v>103</v>
      </c>
      <c r="C63" s="332"/>
      <c r="D63" s="406" t="s">
        <v>168</v>
      </c>
      <c r="E63" s="406"/>
      <c r="F63" s="407"/>
      <c r="G63" s="242"/>
      <c r="H63" s="223"/>
      <c r="I63" s="263"/>
      <c r="J63" s="190"/>
      <c r="K63" s="68"/>
      <c r="L63" s="391"/>
      <c r="M63" s="425"/>
      <c r="N63" s="252"/>
      <c r="O63" s="430"/>
      <c r="P63" s="301"/>
      <c r="Q63" s="298"/>
      <c r="R63" s="295"/>
      <c r="S63" s="190"/>
      <c r="T63" s="27"/>
      <c r="U63" s="27"/>
      <c r="W63" s="68"/>
      <c r="AE63" s="34"/>
      <c r="AF63" s="34"/>
      <c r="AG63" s="35"/>
      <c r="AH63" s="35"/>
      <c r="AI63" s="35"/>
      <c r="AJ63" s="35"/>
      <c r="AK63" s="1"/>
      <c r="AL63" s="1"/>
      <c r="AM63" s="1"/>
      <c r="AN63" s="1"/>
      <c r="AO63" s="30"/>
      <c r="AP63" s="34"/>
    </row>
    <row r="64" spans="1:42" ht="15.75" customHeight="1" x14ac:dyDescent="0.25">
      <c r="A64" s="398" t="s">
        <v>243</v>
      </c>
      <c r="B64" s="286" t="s">
        <v>104</v>
      </c>
      <c r="C64" s="333"/>
      <c r="D64" s="408" t="s">
        <v>176</v>
      </c>
      <c r="E64" s="408"/>
      <c r="F64" s="409"/>
      <c r="G64" s="243"/>
      <c r="H64" s="223"/>
      <c r="I64" s="263"/>
      <c r="J64" s="191" t="str">
        <f>"ML=" &amp; INDEX(SignLords,IF(MOD(I4,12)=0,12,MOD(I4,12)),)</f>
        <v>ML=Ju</v>
      </c>
      <c r="K64" s="68"/>
      <c r="L64" s="391"/>
      <c r="M64" s="425"/>
      <c r="N64" s="253"/>
      <c r="O64" s="430"/>
      <c r="P64" s="302"/>
      <c r="Q64" s="298"/>
      <c r="R64" s="295"/>
      <c r="S64" s="191" t="str">
        <f>"ML=" &amp; INDEX(SignLords,IF(MOD(T4,12)=0,12,MOD(T4,12)),)</f>
        <v>ML=Ma</v>
      </c>
      <c r="T64" s="27"/>
      <c r="U64" s="27"/>
      <c r="W64" s="68"/>
      <c r="AE64" s="34"/>
      <c r="AF64" s="34"/>
      <c r="AG64" s="35"/>
      <c r="AH64" s="35"/>
      <c r="AI64" s="35"/>
      <c r="AJ64" s="35"/>
      <c r="AK64" s="1"/>
      <c r="AL64" s="1"/>
      <c r="AM64" s="1"/>
      <c r="AN64" s="1"/>
      <c r="AO64" s="30"/>
      <c r="AP64" s="34"/>
    </row>
    <row r="65" spans="1:43" ht="15.75" customHeight="1" x14ac:dyDescent="0.25">
      <c r="A65" s="399"/>
      <c r="B65" s="282" t="s">
        <v>105</v>
      </c>
      <c r="C65" s="329"/>
      <c r="D65" s="408" t="s">
        <v>177</v>
      </c>
      <c r="E65" s="408"/>
      <c r="F65" s="409"/>
      <c r="G65" s="227"/>
      <c r="H65" s="223"/>
      <c r="I65" s="263"/>
      <c r="J65" s="191" t="str">
        <f>"11L=" &amp;INDEX(SignLords,IF(MOD(I4+11-1,12)=0,12,MOD(I4+11-1,12)),)</f>
        <v>11L=Sa</v>
      </c>
      <c r="K65" s="68"/>
      <c r="L65" s="391"/>
      <c r="M65" s="425"/>
      <c r="N65" s="248"/>
      <c r="O65" s="430"/>
      <c r="P65" s="233"/>
      <c r="Q65" s="298"/>
      <c r="R65" s="295"/>
      <c r="S65" s="191" t="str">
        <f>"11L=" &amp;INDEX(SignLords,IF(MOD(T4+11-1,12)=0,12,MOD(T4+11-1,12)),)</f>
        <v>11L=Me</v>
      </c>
      <c r="T65" s="27"/>
      <c r="U65" s="27"/>
      <c r="W65" s="68"/>
      <c r="AE65" s="34"/>
      <c r="AF65" s="34"/>
      <c r="AG65" s="35"/>
      <c r="AH65" s="35"/>
      <c r="AI65" s="35"/>
      <c r="AJ65" s="35"/>
      <c r="AK65" s="1"/>
      <c r="AL65" s="1"/>
      <c r="AM65" s="1"/>
      <c r="AN65" s="1"/>
      <c r="AO65" s="30"/>
      <c r="AP65" s="34"/>
    </row>
    <row r="66" spans="1:43" ht="15.75" customHeight="1" x14ac:dyDescent="0.25">
      <c r="A66" s="399"/>
      <c r="B66" s="282" t="s">
        <v>106</v>
      </c>
      <c r="C66" s="329"/>
      <c r="D66" s="408" t="s">
        <v>178</v>
      </c>
      <c r="E66" s="408"/>
      <c r="F66" s="409"/>
      <c r="G66" s="227"/>
      <c r="H66" s="223"/>
      <c r="I66" s="263"/>
      <c r="J66" s="191"/>
      <c r="K66" s="68"/>
      <c r="L66" s="391"/>
      <c r="M66" s="425"/>
      <c r="N66" s="248"/>
      <c r="O66" s="430"/>
      <c r="P66" s="233"/>
      <c r="Q66" s="298"/>
      <c r="R66" s="295"/>
      <c r="S66" s="191"/>
      <c r="T66" s="27"/>
      <c r="U66" s="27"/>
      <c r="W66" s="68"/>
      <c r="AE66" s="34"/>
      <c r="AF66" s="34"/>
      <c r="AG66" s="35"/>
      <c r="AH66" s="35"/>
      <c r="AI66" s="35"/>
      <c r="AJ66" s="35"/>
      <c r="AK66" s="1"/>
      <c r="AL66" s="1"/>
      <c r="AM66" s="1"/>
      <c r="AN66" s="1"/>
      <c r="AO66" s="30"/>
      <c r="AP66" s="34"/>
    </row>
    <row r="67" spans="1:43" ht="15.75" customHeight="1" x14ac:dyDescent="0.25">
      <c r="A67" s="399"/>
      <c r="B67" s="282" t="s">
        <v>113</v>
      </c>
      <c r="C67" s="329"/>
      <c r="D67" s="400" t="s">
        <v>179</v>
      </c>
      <c r="E67" s="400"/>
      <c r="F67" s="401"/>
      <c r="G67" s="227"/>
      <c r="H67" s="223"/>
      <c r="I67" s="263"/>
      <c r="J67" s="191" t="str">
        <f>"Mo Sign="&amp;P4</f>
        <v>Mo Sign=Pi</v>
      </c>
      <c r="K67" s="68"/>
      <c r="L67" s="391"/>
      <c r="M67" s="425"/>
      <c r="N67" s="248"/>
      <c r="O67" s="430"/>
      <c r="P67" s="233"/>
      <c r="Q67" s="298"/>
      <c r="R67" s="295"/>
      <c r="S67" s="191" t="str">
        <f>"Mo Sign="&amp;V4</f>
        <v>Mo Sign=Sc</v>
      </c>
      <c r="T67" s="27"/>
      <c r="U67" s="27"/>
      <c r="W67" s="68"/>
      <c r="AE67" s="34"/>
      <c r="AF67" s="34"/>
      <c r="AG67" s="35"/>
      <c r="AH67" s="35"/>
      <c r="AI67" s="35"/>
      <c r="AJ67" s="35"/>
      <c r="AK67" s="1"/>
      <c r="AL67" s="1"/>
      <c r="AM67" s="1"/>
      <c r="AN67" s="1"/>
      <c r="AO67" s="30"/>
      <c r="AP67" s="34"/>
    </row>
    <row r="68" spans="1:43" ht="15.75" customHeight="1" x14ac:dyDescent="0.25">
      <c r="A68" s="399"/>
      <c r="B68" s="282" t="s">
        <v>107</v>
      </c>
      <c r="C68" s="329"/>
      <c r="D68" s="402"/>
      <c r="E68" s="402"/>
      <c r="F68" s="403"/>
      <c r="G68" s="227"/>
      <c r="H68" s="223"/>
      <c r="I68" s="263"/>
      <c r="J68" s="191"/>
      <c r="K68" s="68"/>
      <c r="L68" s="391"/>
      <c r="M68" s="425"/>
      <c r="N68" s="248"/>
      <c r="O68" s="430"/>
      <c r="P68" s="233"/>
      <c r="Q68" s="298"/>
      <c r="R68" s="295"/>
      <c r="S68" s="191"/>
      <c r="T68" s="27"/>
      <c r="U68" s="27"/>
      <c r="W68" s="68"/>
      <c r="AE68" s="34"/>
      <c r="AF68" s="34"/>
      <c r="AG68" s="35"/>
      <c r="AH68" s="35"/>
      <c r="AI68" s="35"/>
      <c r="AJ68" s="35"/>
      <c r="AK68" s="1"/>
      <c r="AL68" s="1"/>
      <c r="AM68" s="1"/>
      <c r="AN68" s="1"/>
      <c r="AO68" s="30"/>
      <c r="AP68" s="34"/>
    </row>
    <row r="69" spans="1:43" ht="15.75" customHeight="1" x14ac:dyDescent="0.25">
      <c r="A69" s="399"/>
      <c r="B69" s="287" t="s">
        <v>108</v>
      </c>
      <c r="C69" s="329"/>
      <c r="D69" s="404"/>
      <c r="E69" s="404"/>
      <c r="F69" s="405"/>
      <c r="G69" s="227"/>
      <c r="H69" s="223"/>
      <c r="I69" s="263"/>
      <c r="J69" s="191" t="str">
        <f>"11th="&amp; INDEX(Signs,IF(MOD(I4+11-1,12)=0,12,MOD(I4+11-1,12)),)</f>
        <v>11th=Cp</v>
      </c>
      <c r="K69" s="68"/>
      <c r="L69" s="391"/>
      <c r="M69" s="425"/>
      <c r="N69" s="248"/>
      <c r="O69" s="430"/>
      <c r="P69" s="233"/>
      <c r="Q69" s="298"/>
      <c r="R69" s="295"/>
      <c r="S69" s="191" t="str">
        <f>"11th="&amp; INDEX(Signs,IF(MOD(T4+11-1,12)=0,12,MOD(T4+11-1,12)),)</f>
        <v>11th=Vi</v>
      </c>
      <c r="T69" s="27"/>
      <c r="U69" s="27"/>
      <c r="W69" s="68"/>
      <c r="AE69" s="34"/>
      <c r="AF69" s="34"/>
      <c r="AG69" s="35"/>
      <c r="AH69" s="35"/>
      <c r="AI69" s="35"/>
      <c r="AJ69" s="35"/>
      <c r="AK69" s="1"/>
      <c r="AL69" s="1"/>
      <c r="AM69" s="1"/>
      <c r="AN69" s="1"/>
      <c r="AO69" s="30"/>
      <c r="AP69" s="34"/>
    </row>
    <row r="70" spans="1:43" ht="15.75" customHeight="1" x14ac:dyDescent="0.25">
      <c r="A70" s="399"/>
      <c r="B70" s="282" t="s">
        <v>109</v>
      </c>
      <c r="C70" s="334"/>
      <c r="D70" s="408" t="s">
        <v>180</v>
      </c>
      <c r="E70" s="408"/>
      <c r="F70" s="409"/>
      <c r="G70" s="244"/>
      <c r="H70" s="223"/>
      <c r="I70" s="263"/>
      <c r="J70" s="191"/>
      <c r="K70" s="68"/>
      <c r="L70" s="391"/>
      <c r="M70" s="425"/>
      <c r="N70" s="240"/>
      <c r="O70" s="430"/>
      <c r="P70" s="303"/>
      <c r="Q70" s="298"/>
      <c r="R70" s="295"/>
      <c r="S70" s="272"/>
      <c r="T70" s="27"/>
      <c r="U70" s="27"/>
      <c r="W70" s="68"/>
      <c r="AE70" s="34"/>
      <c r="AF70" s="34"/>
      <c r="AG70" s="35"/>
      <c r="AH70" s="35"/>
      <c r="AI70" s="35"/>
      <c r="AJ70" s="35"/>
      <c r="AK70" s="1"/>
      <c r="AL70" s="1"/>
      <c r="AM70" s="1"/>
      <c r="AN70" s="1"/>
      <c r="AO70" s="30"/>
      <c r="AP70" s="34"/>
    </row>
    <row r="71" spans="1:43" ht="15.75" customHeight="1" thickBot="1" x14ac:dyDescent="0.3">
      <c r="A71" s="256" t="s">
        <v>159</v>
      </c>
      <c r="B71" s="288" t="s">
        <v>110</v>
      </c>
      <c r="C71" s="335"/>
      <c r="D71" s="360"/>
      <c r="E71" s="360"/>
      <c r="F71" s="361"/>
      <c r="G71" s="268"/>
      <c r="H71" s="269"/>
      <c r="I71" s="270"/>
      <c r="J71" s="192"/>
      <c r="K71" s="68"/>
      <c r="L71" s="391"/>
      <c r="M71" s="426"/>
      <c r="N71" s="278" t="s">
        <v>111</v>
      </c>
      <c r="O71" s="431"/>
      <c r="P71" s="304"/>
      <c r="Q71" s="299"/>
      <c r="R71" s="305"/>
      <c r="S71" s="273"/>
      <c r="T71" s="27"/>
      <c r="U71" s="27"/>
      <c r="AE71" s="34"/>
      <c r="AF71" s="34"/>
      <c r="AG71" s="35"/>
      <c r="AH71" s="35"/>
      <c r="AI71" s="35"/>
      <c r="AJ71" s="35"/>
      <c r="AK71" s="1"/>
      <c r="AL71" s="1"/>
      <c r="AM71" s="1"/>
      <c r="AN71" s="1"/>
      <c r="AO71" s="30"/>
      <c r="AP71" s="34"/>
    </row>
    <row r="72" spans="1:43" ht="15.75" customHeight="1" thickTop="1" thickBot="1" x14ac:dyDescent="0.3">
      <c r="A72" s="362" t="s">
        <v>78</v>
      </c>
      <c r="B72" s="363"/>
      <c r="C72" s="245">
        <f>COUNTIF(C42:C57,"Yes")+IF(C58="Yes",3,0)+
COUNTIF(C59:C70,"Yes")+IF(C71="Yes",3,0)</f>
        <v>4</v>
      </c>
      <c r="D72" s="245"/>
      <c r="E72" s="245"/>
      <c r="F72" s="245"/>
      <c r="G72" s="260">
        <f>CountCapitalLetters(G73)</f>
        <v>4</v>
      </c>
      <c r="H72" s="245">
        <f>COUNTIF(H46:H71,"Yes")</f>
        <v>2</v>
      </c>
      <c r="I72" s="225">
        <f>COUNTA(I42:I71)</f>
        <v>2</v>
      </c>
      <c r="J72" s="216" t="str">
        <f>CONCATENATE(I42,I43,I44,I45,I46,I47,I48,I49,I59,I60,I61,I62)</f>
        <v>JuMo</v>
      </c>
      <c r="K72" s="68"/>
      <c r="L72" s="410" t="s">
        <v>78</v>
      </c>
      <c r="M72" s="411"/>
      <c r="N72" s="245">
        <f>COUNTIF(N42:N57,"Yes")+IF(N58="Yes",3,0)+
COUNTIF(N59:N70,"Yes")+IF(N71="Yes",3,0)</f>
        <v>4</v>
      </c>
      <c r="O72" s="254"/>
      <c r="P72" s="274">
        <f>CountCapitalLetters(P73)</f>
        <v>2</v>
      </c>
      <c r="Q72" s="275">
        <f>COUNTIF(Q46:Q71,"Yes")</f>
        <v>0</v>
      </c>
      <c r="R72" s="276">
        <f>COUNTA(R42:R71)</f>
        <v>1</v>
      </c>
      <c r="S72" s="27"/>
      <c r="T72" s="27"/>
      <c r="U72" s="27"/>
      <c r="AE72" s="34"/>
      <c r="AF72" s="34"/>
      <c r="AG72" s="35"/>
      <c r="AH72" s="35"/>
      <c r="AI72" s="35"/>
      <c r="AJ72" s="35"/>
      <c r="AK72" s="1"/>
      <c r="AL72" s="1"/>
      <c r="AM72" s="1"/>
      <c r="AN72" s="1"/>
      <c r="AO72" s="30"/>
      <c r="AP72" s="34"/>
    </row>
    <row r="73" spans="1:43" ht="15.75" customHeight="1" x14ac:dyDescent="0.25">
      <c r="B73" s="99"/>
      <c r="C73" s="99" t="s">
        <v>64</v>
      </c>
      <c r="D73" s="99"/>
      <c r="E73" s="99"/>
      <c r="F73" s="99"/>
      <c r="G73" s="221" t="str">
        <f>TRIM(CONCATENATE(G42,G43,G44,G45,G46,G47,G48,G49,G50,G51,G52,G53,G54,G55,G56,G57,G58,G59,G60,G61,G62,G63,G64,G65,G66,G67,G68,G69,G70))</f>
        <v>VeVeMa Ra</v>
      </c>
      <c r="H73" s="99"/>
      <c r="J73" s="99"/>
      <c r="K73" t="s">
        <v>117</v>
      </c>
      <c r="L73" s="99"/>
      <c r="M73" s="99"/>
      <c r="N73" s="99"/>
      <c r="P73" s="221" t="str">
        <f>TRIM(CONCATENATE($P$42,$P$43,$P$44,$P$45,$P$46,$P$47,$P$48,$P$49,$P$50,$P$51,$P$52,$P$53,$P$54,$P$55,$P$56,$P$57,$P$58,$P$59,$P$60,$P$61,$P$62,$P$63,$P$64,$P$65,$P$66,$P$67,$P$68,$P$69,$P$70))</f>
        <v>VeMa</v>
      </c>
      <c r="Q73" s="99"/>
      <c r="R73" s="99"/>
      <c r="AF73" s="34"/>
      <c r="AG73" s="34"/>
      <c r="AH73" s="35"/>
      <c r="AI73" s="35"/>
      <c r="AJ73" s="35"/>
      <c r="AK73" s="35"/>
      <c r="AL73" s="1"/>
      <c r="AM73" s="1"/>
      <c r="AN73" s="1"/>
      <c r="AO73" s="1"/>
      <c r="AP73" s="30"/>
      <c r="AQ73" s="34"/>
    </row>
    <row r="74" spans="1:43" ht="15.75" customHeight="1" x14ac:dyDescent="0.25">
      <c r="B74" s="10" t="str">
        <f>Gender</f>
        <v>Male</v>
      </c>
      <c r="C74" s="110" t="s">
        <v>181</v>
      </c>
      <c r="D74" s="182">
        <f>GetBaseNum(YEAR(birthdate),Gender)</f>
        <v>24</v>
      </c>
      <c r="E74" s="99"/>
      <c r="F74" s="99"/>
      <c r="G74" s="99"/>
      <c r="H74" s="99"/>
      <c r="K74" s="110" t="s">
        <v>182</v>
      </c>
      <c r="L74" s="182">
        <f>Base</f>
        <v>24</v>
      </c>
      <c r="M74" s="99"/>
      <c r="N74" s="99"/>
      <c r="O74" s="99"/>
      <c r="P74" s="99"/>
      <c r="Q74" s="99"/>
      <c r="R74" s="99"/>
      <c r="AF74" s="34"/>
      <c r="AG74" s="34"/>
      <c r="AH74" s="35"/>
      <c r="AI74" s="35"/>
      <c r="AJ74" s="35"/>
      <c r="AK74" s="35"/>
      <c r="AL74" s="1"/>
      <c r="AM74" s="1"/>
      <c r="AN74" s="1"/>
      <c r="AO74" s="1"/>
      <c r="AP74" s="30"/>
      <c r="AQ74" s="34"/>
    </row>
    <row r="75" spans="1:43" ht="20.100000000000001" customHeight="1" x14ac:dyDescent="0.25">
      <c r="C75" s="110" t="s">
        <v>96</v>
      </c>
      <c r="D75" s="182">
        <f>IF(Gender="Male",5,4)</f>
        <v>5</v>
      </c>
      <c r="E75" s="99"/>
      <c r="F75" s="99"/>
      <c r="G75" s="99"/>
      <c r="H75" s="99"/>
      <c r="K75" s="110" t="s">
        <v>96</v>
      </c>
      <c r="L75" s="182">
        <f>Step</f>
        <v>5</v>
      </c>
      <c r="M75" s="99"/>
      <c r="N75" s="99"/>
      <c r="O75" s="99"/>
      <c r="P75" s="99"/>
      <c r="Q75" s="99"/>
      <c r="R75" s="99"/>
      <c r="AF75" s="34"/>
      <c r="AG75" s="34"/>
      <c r="AH75" s="35"/>
      <c r="AI75" s="35"/>
      <c r="AJ75" s="35"/>
      <c r="AK75" s="35"/>
      <c r="AL75" s="1"/>
      <c r="AM75" s="1"/>
      <c r="AN75" s="1"/>
      <c r="AO75" s="1"/>
      <c r="AP75" s="30"/>
      <c r="AQ75" s="34"/>
    </row>
    <row r="76" spans="1:43" ht="20.100000000000001" customHeight="1" x14ac:dyDescent="0.25">
      <c r="C76" s="110" t="s">
        <v>97</v>
      </c>
      <c r="D76" s="182">
        <f>C72</f>
        <v>4</v>
      </c>
      <c r="E76" s="99"/>
      <c r="F76" s="99"/>
      <c r="G76" s="99"/>
      <c r="H76" s="99"/>
      <c r="K76" s="110" t="s">
        <v>126</v>
      </c>
      <c r="L76" s="199">
        <f>N72</f>
        <v>4</v>
      </c>
      <c r="M76" s="99"/>
      <c r="N76" s="99"/>
      <c r="O76" s="99"/>
      <c r="P76" s="99"/>
      <c r="Q76" s="99"/>
      <c r="R76" s="99"/>
      <c r="AF76" s="34"/>
      <c r="AG76" s="34"/>
      <c r="AH76" s="35"/>
      <c r="AI76" s="35"/>
      <c r="AJ76" s="35"/>
      <c r="AK76" s="35"/>
      <c r="AL76" s="1"/>
      <c r="AM76" s="1"/>
      <c r="AN76" s="1"/>
      <c r="AO76" s="1"/>
      <c r="AP76" s="30"/>
      <c r="AQ76" s="34"/>
    </row>
    <row r="77" spans="1:43" ht="20.100000000000001" customHeight="1" x14ac:dyDescent="0.25">
      <c r="C77" s="110" t="s">
        <v>138</v>
      </c>
      <c r="D77" s="182">
        <f>IF(Gender="Male",4,3)</f>
        <v>4</v>
      </c>
      <c r="E77" s="99"/>
      <c r="F77" s="99"/>
      <c r="G77" s="99"/>
      <c r="H77" s="99"/>
      <c r="K77" s="110" t="s">
        <v>98</v>
      </c>
      <c r="L77" s="110">
        <f>MF</f>
        <v>4</v>
      </c>
      <c r="M77" s="99"/>
      <c r="N77" s="99"/>
      <c r="O77" s="99"/>
      <c r="P77" s="99"/>
      <c r="Q77" s="99"/>
      <c r="R77" s="99"/>
      <c r="AF77" s="34"/>
      <c r="AG77" s="34"/>
      <c r="AH77" s="35"/>
      <c r="AI77" s="35"/>
      <c r="AJ77" s="35"/>
      <c r="AK77" s="35"/>
      <c r="AL77" s="1"/>
      <c r="AM77" s="1"/>
      <c r="AN77" s="1"/>
      <c r="AO77" s="1"/>
      <c r="AP77" s="30"/>
      <c r="AQ77" s="34"/>
    </row>
    <row r="78" spans="1:43" ht="20.100000000000001" customHeight="1" x14ac:dyDescent="0.25">
      <c r="C78" s="110" t="s">
        <v>141</v>
      </c>
      <c r="D78" s="182">
        <f>G72+H72+I72</f>
        <v>8</v>
      </c>
      <c r="E78" s="99"/>
      <c r="F78" s="99"/>
      <c r="G78" s="99"/>
      <c r="H78" s="99"/>
      <c r="K78" s="110" t="s">
        <v>127</v>
      </c>
      <c r="L78" s="199">
        <f>$P$72+$Q$72+$R$72</f>
        <v>3</v>
      </c>
      <c r="M78" s="99"/>
      <c r="N78" s="99"/>
      <c r="O78" s="99"/>
      <c r="P78" s="99"/>
      <c r="Q78" s="99"/>
      <c r="R78" s="99"/>
      <c r="AF78" s="34"/>
      <c r="AG78" s="34"/>
      <c r="AH78" s="35"/>
      <c r="AI78" s="35"/>
      <c r="AJ78" s="35"/>
      <c r="AK78" s="35"/>
      <c r="AL78" s="1"/>
      <c r="AM78" s="1"/>
      <c r="AN78" s="1"/>
      <c r="AO78" s="1"/>
      <c r="AP78" s="30"/>
      <c r="AQ78" s="34"/>
    </row>
    <row r="79" spans="1:43" ht="20.100000000000001" customHeight="1" x14ac:dyDescent="0.25">
      <c r="C79" s="110" t="s">
        <v>114</v>
      </c>
      <c r="D79" s="182">
        <f>Base+(Step+(EF-1)*MF)*m-RF</f>
        <v>41.5</v>
      </c>
      <c r="E79" s="99"/>
      <c r="F79" s="99"/>
      <c r="G79" s="99"/>
      <c r="H79" s="169"/>
      <c r="K79" s="110" t="s">
        <v>115</v>
      </c>
      <c r="L79" s="199">
        <f>BaseX+(Step+(EFX-1)*MF)*m-RFX</f>
        <v>46.5</v>
      </c>
      <c r="M79" s="99"/>
      <c r="N79" s="99"/>
      <c r="O79" s="99"/>
      <c r="P79" s="99"/>
      <c r="Q79" s="99"/>
      <c r="R79" s="99"/>
      <c r="AF79" s="34"/>
      <c r="AG79" s="34"/>
      <c r="AH79" s="35"/>
      <c r="AI79" s="35"/>
      <c r="AJ79" s="35"/>
      <c r="AK79" s="35"/>
      <c r="AL79" s="1"/>
      <c r="AM79" s="1"/>
      <c r="AN79" s="1"/>
      <c r="AO79" s="1"/>
      <c r="AP79" s="30"/>
      <c r="AQ79" s="34"/>
    </row>
    <row r="80" spans="1:43" ht="20.100000000000001" customHeight="1" thickBot="1" x14ac:dyDescent="0.3">
      <c r="A80" s="99"/>
      <c r="B80" s="99"/>
      <c r="C80" s="110" t="s">
        <v>235</v>
      </c>
      <c r="D80" s="69">
        <v>1.5</v>
      </c>
      <c r="E80" s="99"/>
      <c r="F80" s="99"/>
      <c r="L80" s="99"/>
      <c r="AF80" s="34"/>
      <c r="AG80" s="34"/>
      <c r="AH80" s="35"/>
      <c r="AI80" s="35"/>
      <c r="AJ80" s="35"/>
      <c r="AK80" s="35"/>
      <c r="AL80" s="1"/>
      <c r="AM80" s="1"/>
      <c r="AN80" s="1"/>
      <c r="AO80" s="1"/>
      <c r="AP80" s="30"/>
      <c r="AQ80" s="34"/>
    </row>
    <row r="81" spans="1:43" ht="20.100000000000001" customHeight="1" thickBot="1" x14ac:dyDescent="0.4">
      <c r="C81" s="99"/>
      <c r="D81" s="99"/>
      <c r="E81" s="99"/>
      <c r="F81" s="99"/>
      <c r="G81" s="161" t="s">
        <v>128</v>
      </c>
      <c r="H81" s="316">
        <f>ROUNDUP(AVERAGE(Delay_in_D1,Delay_in_DX),0)</f>
        <v>44</v>
      </c>
      <c r="AF81" s="34"/>
      <c r="AG81" s="34"/>
      <c r="AH81" s="35"/>
      <c r="AI81" s="35"/>
      <c r="AJ81" s="35"/>
      <c r="AK81" s="35"/>
      <c r="AL81" s="1"/>
      <c r="AM81" s="1"/>
      <c r="AN81" s="1"/>
      <c r="AO81" s="1"/>
      <c r="AP81" s="30"/>
      <c r="AQ81" s="34"/>
    </row>
    <row r="82" spans="1:43" ht="20.100000000000001" customHeight="1" x14ac:dyDescent="0.25">
      <c r="A82" t="s">
        <v>143</v>
      </c>
      <c r="B82" s="99"/>
      <c r="D82" s="99"/>
      <c r="E82" s="99"/>
      <c r="F82" s="99"/>
      <c r="G82" s="99"/>
      <c r="H82" s="99"/>
      <c r="AF82" s="34"/>
      <c r="AG82" s="34"/>
      <c r="AH82" s="35"/>
      <c r="AI82" s="35"/>
      <c r="AJ82" s="35"/>
      <c r="AK82" s="35"/>
      <c r="AL82" s="1"/>
      <c r="AM82" s="1"/>
      <c r="AN82" s="1"/>
      <c r="AO82" s="1"/>
      <c r="AP82" s="30"/>
      <c r="AQ82" s="34"/>
    </row>
    <row r="83" spans="1:43" ht="20.100000000000001" customHeight="1" x14ac:dyDescent="0.25">
      <c r="B83" s="170" t="s">
        <v>116</v>
      </c>
      <c r="C83" s="170" t="s">
        <v>77</v>
      </c>
      <c r="D83" s="170" t="s">
        <v>0</v>
      </c>
      <c r="E83" s="170" t="s">
        <v>1</v>
      </c>
      <c r="F83" s="170" t="s">
        <v>2</v>
      </c>
      <c r="G83" s="170" t="s">
        <v>3</v>
      </c>
      <c r="H83" s="170" t="s">
        <v>4</v>
      </c>
      <c r="I83" s="170" t="s">
        <v>5</v>
      </c>
      <c r="J83" s="170" t="s">
        <v>6</v>
      </c>
      <c r="K83" s="170" t="s">
        <v>7</v>
      </c>
      <c r="L83" s="171" t="s">
        <v>8</v>
      </c>
      <c r="AF83" s="34"/>
      <c r="AG83" s="34"/>
      <c r="AH83" s="35"/>
      <c r="AI83" s="35"/>
      <c r="AJ83" s="35"/>
      <c r="AK83" s="35"/>
      <c r="AL83" s="1"/>
      <c r="AM83" s="1"/>
      <c r="AN83" s="1"/>
      <c r="AO83" s="1"/>
      <c r="AP83" s="30"/>
      <c r="AQ83" s="34"/>
    </row>
    <row r="84" spans="1:43" ht="20.100000000000001" customHeight="1" x14ac:dyDescent="0.25">
      <c r="A84" s="169" t="s">
        <v>118</v>
      </c>
      <c r="B84" s="172" t="s">
        <v>64</v>
      </c>
      <c r="C84" s="172">
        <f>rasinum(Asc)</f>
        <v>3</v>
      </c>
      <c r="D84" s="172">
        <f>I3</f>
        <v>7</v>
      </c>
      <c r="E84" s="172">
        <f>I4</f>
        <v>12</v>
      </c>
      <c r="F84" s="172">
        <f>I5</f>
        <v>6</v>
      </c>
      <c r="G84" s="172">
        <f>I6</f>
        <v>6</v>
      </c>
      <c r="H84" s="172">
        <f>I7</f>
        <v>5</v>
      </c>
      <c r="I84" s="172">
        <f>I8</f>
        <v>7</v>
      </c>
      <c r="J84" s="172">
        <f>I9</f>
        <v>7</v>
      </c>
      <c r="K84" s="172">
        <f>I10</f>
        <v>8</v>
      </c>
      <c r="L84" s="173">
        <f>I11</f>
        <v>2</v>
      </c>
      <c r="AF84" s="34"/>
      <c r="AG84" s="34"/>
      <c r="AH84" s="35"/>
      <c r="AI84" s="35"/>
      <c r="AJ84" s="35"/>
      <c r="AK84" s="35"/>
      <c r="AL84" s="1"/>
      <c r="AM84" s="1"/>
      <c r="AN84" s="1"/>
      <c r="AO84" s="1"/>
      <c r="AP84" s="30"/>
      <c r="AQ84" s="34"/>
    </row>
    <row r="85" spans="1:43" ht="20.100000000000001" customHeight="1" x14ac:dyDescent="0.25">
      <c r="A85" s="99"/>
      <c r="B85" s="174" t="s">
        <v>117</v>
      </c>
      <c r="C85" s="175">
        <f>T12</f>
        <v>2</v>
      </c>
      <c r="D85" s="175">
        <f>T3</f>
        <v>10</v>
      </c>
      <c r="E85" s="175">
        <f>T4</f>
        <v>8</v>
      </c>
      <c r="F85" s="175">
        <f>T5</f>
        <v>3</v>
      </c>
      <c r="G85" s="175">
        <f>T6</f>
        <v>4</v>
      </c>
      <c r="H85" s="175">
        <f>T7</f>
        <v>8</v>
      </c>
      <c r="I85" s="175">
        <f>T8</f>
        <v>3</v>
      </c>
      <c r="J85" s="175">
        <f>T9</f>
        <v>3</v>
      </c>
      <c r="K85" s="175">
        <f>T10</f>
        <v>11</v>
      </c>
      <c r="L85" s="178">
        <f>T11</f>
        <v>5</v>
      </c>
      <c r="AF85" s="34"/>
      <c r="AG85" s="34"/>
      <c r="AH85" s="35"/>
      <c r="AI85" s="35"/>
      <c r="AJ85" s="35"/>
      <c r="AK85" s="35"/>
      <c r="AL85" s="1"/>
      <c r="AM85" s="1"/>
      <c r="AN85" s="1"/>
      <c r="AO85" s="1"/>
      <c r="AP85" s="30"/>
      <c r="AQ85" s="34"/>
    </row>
    <row r="86" spans="1:43" ht="20.100000000000001" customHeight="1" x14ac:dyDescent="0.35">
      <c r="A86" s="99"/>
      <c r="B86" s="176" t="s">
        <v>119</v>
      </c>
      <c r="C86" s="183" t="str">
        <f>INDEX(Alphabets_Table,Sheet1!$C$84,Sheet1!$C$85)</f>
        <v>E</v>
      </c>
      <c r="D86" s="177"/>
      <c r="E86" s="177"/>
      <c r="F86" s="177"/>
      <c r="G86" s="177"/>
      <c r="H86" s="177"/>
      <c r="I86" s="177"/>
      <c r="J86" s="177"/>
      <c r="K86" s="177"/>
      <c r="L86" s="163"/>
      <c r="AF86" s="34"/>
      <c r="AG86" s="34"/>
      <c r="AH86" s="35"/>
      <c r="AI86" s="35"/>
      <c r="AJ86" s="35"/>
      <c r="AK86" s="35"/>
      <c r="AL86" s="1"/>
      <c r="AM86" s="1"/>
      <c r="AN86" s="1"/>
      <c r="AO86" s="1"/>
      <c r="AP86" s="30"/>
      <c r="AQ86" s="34"/>
    </row>
    <row r="87" spans="1:43" ht="20.100000000000001" customHeight="1" x14ac:dyDescent="0.25">
      <c r="A87" s="99"/>
      <c r="B87" s="41" t="s">
        <v>131</v>
      </c>
      <c r="C87" s="196" t="str">
        <f>CHOOSE(C84,"Ma","Ve","Me","Mo","Su","Me","Ve","Ma","Ju","Sa","Sa","Ju")</f>
        <v>Me</v>
      </c>
      <c r="D87" s="99"/>
      <c r="E87" s="99"/>
      <c r="F87" s="99"/>
      <c r="G87" s="99"/>
      <c r="H87" s="99"/>
      <c r="AF87" s="34"/>
      <c r="AG87" s="34"/>
      <c r="AH87" s="35"/>
      <c r="AI87" s="35"/>
      <c r="AJ87" s="35"/>
      <c r="AK87" s="35"/>
      <c r="AL87" s="1"/>
      <c r="AM87" s="1"/>
      <c r="AN87" s="1"/>
      <c r="AO87" s="1"/>
      <c r="AP87" s="30"/>
      <c r="AQ87" s="34"/>
    </row>
    <row r="88" spans="1:43" ht="20.100000000000001" customHeight="1" x14ac:dyDescent="0.25">
      <c r="A88" s="99"/>
      <c r="B88" s="169" t="s">
        <v>133</v>
      </c>
      <c r="C88" s="169">
        <f>ROUNDUP(VLOOKUP($C$87,$F$3:$G$9,2,FALSE)/(30/9),)</f>
        <v>52</v>
      </c>
      <c r="D88" s="99"/>
      <c r="E88" s="99"/>
      <c r="F88" s="99"/>
      <c r="G88" s="99"/>
      <c r="H88" s="99"/>
      <c r="AF88" s="34"/>
      <c r="AG88" s="34"/>
      <c r="AH88" s="35"/>
      <c r="AI88" s="35"/>
      <c r="AJ88" s="35"/>
      <c r="AK88" s="35"/>
      <c r="AL88" s="1"/>
      <c r="AM88" s="1"/>
      <c r="AN88" s="1"/>
      <c r="AO88" s="1"/>
      <c r="AP88" s="30"/>
      <c r="AQ88" s="34"/>
    </row>
    <row r="89" spans="1:43" ht="20.100000000000001" customHeight="1" x14ac:dyDescent="0.25">
      <c r="A89" s="99"/>
      <c r="B89" s="10" t="s">
        <v>132</v>
      </c>
      <c r="C89" s="194" t="str">
        <f>CHOOSE(C85,"Ma","Ve","Me","Mo","Su","Me","Ve","Ma","Ju","Sa","Sa","Ju")</f>
        <v>Ve</v>
      </c>
      <c r="D89" s="99"/>
      <c r="E89" s="99"/>
      <c r="F89" s="99"/>
      <c r="G89" s="99"/>
      <c r="H89" s="99"/>
      <c r="AF89" s="34"/>
      <c r="AG89" s="34"/>
      <c r="AH89" s="35"/>
      <c r="AI89" s="35"/>
      <c r="AJ89" s="35"/>
      <c r="AK89" s="35"/>
      <c r="AL89" s="1"/>
      <c r="AM89" s="1"/>
      <c r="AN89" s="1"/>
      <c r="AO89" s="1"/>
      <c r="AP89" s="30"/>
      <c r="AQ89" s="34"/>
    </row>
    <row r="90" spans="1:43" ht="20.100000000000001" customHeight="1" x14ac:dyDescent="0.25">
      <c r="A90" s="99"/>
      <c r="B90" s="169" t="s">
        <v>134</v>
      </c>
      <c r="C90" s="195">
        <f>ROUNDUP(VLOOKUP($C$89,$F$3:$G$9,2,FALSE)/(30/9),)</f>
        <v>63</v>
      </c>
      <c r="D90" s="99"/>
      <c r="E90" s="99"/>
      <c r="F90" s="99"/>
      <c r="G90" s="99"/>
      <c r="H90" s="99"/>
      <c r="AF90" s="34"/>
      <c r="AG90" s="34"/>
      <c r="AH90" s="35"/>
      <c r="AI90" s="35"/>
      <c r="AJ90" s="35"/>
      <c r="AK90" s="35"/>
      <c r="AL90" s="1"/>
      <c r="AM90" s="1"/>
      <c r="AN90" s="1"/>
      <c r="AO90" s="1"/>
      <c r="AP90" s="30"/>
      <c r="AQ90" s="34"/>
    </row>
    <row r="91" spans="1:43" ht="20.100000000000001" customHeight="1" x14ac:dyDescent="0.25">
      <c r="A91" s="99"/>
      <c r="B91" s="169" t="s">
        <v>160</v>
      </c>
      <c r="C91" s="99">
        <f>C88+C90</f>
        <v>115</v>
      </c>
      <c r="D91" s="99"/>
      <c r="E91" s="99"/>
      <c r="F91" s="99"/>
      <c r="G91" s="99"/>
      <c r="H91" s="99"/>
      <c r="AF91" s="34"/>
      <c r="AG91" s="34"/>
      <c r="AH91" s="35"/>
      <c r="AI91" s="35"/>
      <c r="AJ91" s="35"/>
      <c r="AK91" s="35"/>
      <c r="AL91" s="1"/>
      <c r="AM91" s="1"/>
      <c r="AN91" s="1"/>
      <c r="AO91" s="1"/>
      <c r="AP91" s="30"/>
      <c r="AQ91" s="34"/>
    </row>
    <row r="92" spans="1:43" ht="20.100000000000001" customHeight="1" x14ac:dyDescent="0.25">
      <c r="B92" s="169" t="s">
        <v>135</v>
      </c>
      <c r="C92" s="99">
        <f>MOD(C91,18)</f>
        <v>7</v>
      </c>
      <c r="D92" s="99"/>
      <c r="E92" s="99"/>
      <c r="G92" s="99"/>
      <c r="H92" s="99"/>
      <c r="AF92" s="34"/>
      <c r="AG92" s="34"/>
      <c r="AH92" s="35"/>
      <c r="AI92" s="35"/>
      <c r="AJ92" s="35"/>
      <c r="AK92" s="35"/>
      <c r="AL92" s="1"/>
      <c r="AM92" s="1"/>
      <c r="AN92" s="1"/>
      <c r="AO92" s="1"/>
      <c r="AP92" s="30"/>
      <c r="AQ92" s="34"/>
    </row>
    <row r="93" spans="1:43" ht="20.100000000000001" customHeight="1" thickBot="1" x14ac:dyDescent="0.3">
      <c r="B93" s="169" t="s">
        <v>136</v>
      </c>
      <c r="C93">
        <f>MATCH($C$86,Tables!$C$20:$J$20)</f>
        <v>5</v>
      </c>
      <c r="D93" s="99"/>
      <c r="E93" s="99"/>
      <c r="F93" s="364" t="s">
        <v>137</v>
      </c>
      <c r="G93" s="365"/>
      <c r="H93" s="365"/>
      <c r="I93" s="365"/>
      <c r="J93" s="366"/>
      <c r="AF93" s="34"/>
      <c r="AG93" s="34"/>
      <c r="AH93" s="35"/>
      <c r="AI93" s="35"/>
      <c r="AJ93" s="35"/>
      <c r="AK93" s="35"/>
      <c r="AL93" s="1"/>
      <c r="AM93" s="1"/>
      <c r="AN93" s="1"/>
      <c r="AO93" s="1"/>
      <c r="AP93" s="30"/>
      <c r="AQ93" s="34"/>
    </row>
    <row r="94" spans="1:43" ht="20.100000000000001" customHeight="1" thickBot="1" x14ac:dyDescent="0.4">
      <c r="B94" s="169" t="s">
        <v>95</v>
      </c>
      <c r="C94" s="200" t="str">
        <f>CONCATENATE(C86,C92)</f>
        <v>E7</v>
      </c>
      <c r="F94" s="205">
        <f>H94-2</f>
        <v>1997</v>
      </c>
      <c r="G94" s="206">
        <f>(F94+H94)/2</f>
        <v>1998</v>
      </c>
      <c r="H94" s="207">
        <f>YEAR(birthdate)+$H$81</f>
        <v>1999</v>
      </c>
      <c r="I94" s="206">
        <f>(H94+J94)/2</f>
        <v>2000</v>
      </c>
      <c r="J94" s="208">
        <f>H94+2</f>
        <v>2001</v>
      </c>
      <c r="AF94" s="34"/>
      <c r="AG94" s="34"/>
      <c r="AH94" s="35"/>
      <c r="AI94" s="35"/>
      <c r="AJ94" s="35"/>
      <c r="AK94" s="35"/>
      <c r="AL94" s="1"/>
      <c r="AM94" s="1"/>
      <c r="AN94" s="1"/>
      <c r="AO94" s="1"/>
      <c r="AP94" s="30"/>
      <c r="AQ94" s="34"/>
    </row>
    <row r="95" spans="1:43" ht="36" customHeight="1" thickBot="1" x14ac:dyDescent="0.4">
      <c r="A95" s="345" t="s">
        <v>247</v>
      </c>
      <c r="B95" s="203" t="s">
        <v>139</v>
      </c>
      <c r="C95" s="201">
        <f>INDEX(Tables!$C$21:$J$38,Sheet1!$C$92,Sheet1!$C$93)</f>
        <v>3</v>
      </c>
      <c r="F95" s="230"/>
      <c r="G95" s="230"/>
      <c r="H95" s="230"/>
      <c r="I95" s="230"/>
      <c r="J95" s="230"/>
      <c r="AF95" s="34"/>
      <c r="AG95" s="34"/>
      <c r="AH95" s="35"/>
      <c r="AI95" s="35"/>
      <c r="AJ95" s="35"/>
      <c r="AK95" s="35"/>
      <c r="AL95" s="1"/>
      <c r="AM95" s="1"/>
      <c r="AN95" s="1"/>
      <c r="AO95" s="1"/>
      <c r="AP95" s="30"/>
      <c r="AQ95" s="34"/>
    </row>
    <row r="96" spans="1:43" ht="20.100000000000001" customHeight="1" thickBot="1" x14ac:dyDescent="0.3">
      <c r="B96" s="204" t="s">
        <v>140</v>
      </c>
      <c r="C96" s="202">
        <f>F94+C95-1</f>
        <v>1999</v>
      </c>
      <c r="H96" s="99"/>
      <c r="AF96" s="34"/>
      <c r="AG96" s="34"/>
      <c r="AH96" s="35"/>
      <c r="AI96" s="35"/>
      <c r="AJ96" s="35"/>
      <c r="AK96" s="35"/>
      <c r="AL96" s="1"/>
      <c r="AM96" s="1"/>
      <c r="AN96" s="1"/>
      <c r="AO96" s="1"/>
      <c r="AP96" s="30"/>
      <c r="AQ96" s="34"/>
    </row>
    <row r="97" spans="1:43" ht="20.100000000000001" customHeight="1" x14ac:dyDescent="0.25">
      <c r="AF97" s="34"/>
      <c r="AG97" s="34"/>
      <c r="AH97" s="35"/>
      <c r="AI97" s="35"/>
      <c r="AJ97" s="35"/>
      <c r="AK97" s="35"/>
      <c r="AL97" s="1"/>
      <c r="AM97" s="1"/>
      <c r="AN97" s="1"/>
      <c r="AO97" s="1"/>
      <c r="AP97" s="30"/>
      <c r="AQ97" s="34"/>
    </row>
    <row r="98" spans="1:43" ht="20.100000000000001" customHeight="1" x14ac:dyDescent="0.25">
      <c r="AF98" s="34"/>
      <c r="AG98" s="34"/>
      <c r="AH98" s="35"/>
      <c r="AI98" s="35"/>
      <c r="AJ98" s="35"/>
      <c r="AK98" s="35"/>
      <c r="AL98" s="1"/>
      <c r="AM98" s="1"/>
      <c r="AN98" s="1"/>
      <c r="AO98" s="1"/>
      <c r="AP98" s="30"/>
      <c r="AQ98" s="34"/>
    </row>
    <row r="99" spans="1:43" ht="20.100000000000001" hidden="1" customHeight="1" x14ac:dyDescent="0.25">
      <c r="B99" s="11"/>
      <c r="C99" s="11"/>
      <c r="D99" s="11"/>
      <c r="E99" s="11"/>
      <c r="F99" s="11"/>
      <c r="AF99" s="34"/>
      <c r="AG99" s="34"/>
      <c r="AH99" s="35"/>
      <c r="AI99" s="35"/>
      <c r="AJ99" s="35"/>
      <c r="AK99" s="35"/>
      <c r="AL99" s="1"/>
      <c r="AM99" s="1"/>
      <c r="AN99" s="1"/>
      <c r="AO99" s="1"/>
      <c r="AP99" s="30"/>
      <c r="AQ99" s="34"/>
    </row>
    <row r="100" spans="1:43" ht="20.100000000000001" hidden="1" customHeight="1" x14ac:dyDescent="0.25">
      <c r="A100" s="27"/>
      <c r="B100" s="317"/>
      <c r="C100" s="318" t="s">
        <v>65</v>
      </c>
      <c r="D100" s="318" t="s">
        <v>66</v>
      </c>
      <c r="E100" s="317" t="s">
        <v>124</v>
      </c>
      <c r="F100" s="317" t="s">
        <v>125</v>
      </c>
      <c r="AF100" s="34"/>
      <c r="AG100" s="34"/>
      <c r="AH100" s="35"/>
      <c r="AI100" s="35"/>
      <c r="AJ100" s="35"/>
      <c r="AK100" s="35"/>
      <c r="AL100" s="1"/>
      <c r="AM100" s="1"/>
      <c r="AN100" s="1"/>
      <c r="AO100" s="1"/>
      <c r="AP100" s="30"/>
      <c r="AQ100" s="34"/>
    </row>
    <row r="101" spans="1:43" ht="20.100000000000001" hidden="1" customHeight="1" x14ac:dyDescent="0.25">
      <c r="A101" s="27"/>
      <c r="B101" s="319" t="s">
        <v>45</v>
      </c>
      <c r="C101" s="320" t="str">
        <f>LEFT(TRIM(D101),2)</f>
        <v/>
      </c>
      <c r="D101" s="317" t="str">
        <f>N16</f>
        <v/>
      </c>
      <c r="E101" s="320" t="str">
        <f>LEFT(TRIM(F101),2)</f>
        <v/>
      </c>
      <c r="F101" s="317" t="str">
        <f>U16</f>
        <v/>
      </c>
      <c r="AF101" s="34"/>
      <c r="AG101" s="34"/>
      <c r="AH101" s="35"/>
      <c r="AI101" s="35"/>
      <c r="AJ101" s="35"/>
      <c r="AK101" s="35"/>
      <c r="AL101" s="1"/>
      <c r="AM101" s="1"/>
      <c r="AN101" s="1"/>
      <c r="AO101" s="1"/>
      <c r="AP101" s="30"/>
      <c r="AQ101" s="34"/>
    </row>
    <row r="102" spans="1:43" ht="20.100000000000001" hidden="1" customHeight="1" x14ac:dyDescent="0.25">
      <c r="A102" s="27"/>
      <c r="B102" s="319" t="s">
        <v>46</v>
      </c>
      <c r="C102" s="320" t="str">
        <f t="shared" ref="C102:C112" si="17">LEFT(TRIM(D102),2)</f>
        <v>Ke</v>
      </c>
      <c r="D102" s="317" t="str">
        <f>O16</f>
        <v xml:space="preserve"> Ke</v>
      </c>
      <c r="E102" s="320" t="str">
        <f t="shared" ref="E102:E112" si="18">LEFT(TRIM(F102),2)</f>
        <v>As</v>
      </c>
      <c r="F102" s="317" t="str">
        <f>V16</f>
        <v xml:space="preserve"> As</v>
      </c>
      <c r="AF102" s="34"/>
      <c r="AG102" s="34"/>
      <c r="AH102" s="35"/>
      <c r="AI102" s="35"/>
      <c r="AJ102" s="35"/>
      <c r="AK102" s="35"/>
      <c r="AL102" s="1"/>
      <c r="AM102" s="1"/>
      <c r="AN102" s="1"/>
      <c r="AO102" s="1"/>
      <c r="AP102" s="30"/>
      <c r="AQ102" s="34"/>
    </row>
    <row r="103" spans="1:43" ht="20.100000000000001" hidden="1" customHeight="1" x14ac:dyDescent="0.25">
      <c r="A103" s="32"/>
      <c r="B103" s="319" t="s">
        <v>47</v>
      </c>
      <c r="C103" s="320" t="str">
        <f t="shared" si="17"/>
        <v>As</v>
      </c>
      <c r="D103" s="317" t="str">
        <f>P16</f>
        <v xml:space="preserve"> As</v>
      </c>
      <c r="E103" s="320" t="str">
        <f t="shared" si="18"/>
        <v>Ma</v>
      </c>
      <c r="F103" s="317" t="str">
        <f>W16</f>
        <v xml:space="preserve"> Ma, Ve, Sa</v>
      </c>
      <c r="AF103" s="34"/>
      <c r="AG103" s="34"/>
      <c r="AH103" s="35"/>
      <c r="AI103" s="35"/>
      <c r="AJ103" s="35"/>
      <c r="AK103" s="35"/>
      <c r="AL103" s="1"/>
      <c r="AM103" s="1"/>
      <c r="AN103" s="1"/>
      <c r="AO103" s="1"/>
      <c r="AP103" s="30"/>
      <c r="AQ103" s="34"/>
    </row>
    <row r="104" spans="1:43" ht="20.100000000000001" hidden="1" customHeight="1" x14ac:dyDescent="0.25">
      <c r="A104" s="32"/>
      <c r="B104" s="319" t="s">
        <v>48</v>
      </c>
      <c r="C104" s="320" t="str">
        <f t="shared" si="17"/>
        <v/>
      </c>
      <c r="D104" s="317" t="str">
        <f>P17</f>
        <v/>
      </c>
      <c r="E104" s="320" t="str">
        <f t="shared" si="18"/>
        <v>Me</v>
      </c>
      <c r="F104" s="317" t="str">
        <f>W17</f>
        <v xml:space="preserve"> Me</v>
      </c>
      <c r="AF104" s="34"/>
      <c r="AG104" s="34"/>
      <c r="AH104" s="35"/>
      <c r="AI104" s="35"/>
      <c r="AJ104" s="35"/>
      <c r="AK104" s="35"/>
      <c r="AL104" s="1"/>
      <c r="AM104" s="1"/>
      <c r="AN104" s="1"/>
      <c r="AO104" s="1"/>
      <c r="AP104" s="30"/>
      <c r="AQ104" s="34"/>
    </row>
    <row r="105" spans="1:43" ht="20.100000000000001" hidden="1" customHeight="1" x14ac:dyDescent="0.25">
      <c r="A105" s="32"/>
      <c r="B105" s="319" t="s">
        <v>49</v>
      </c>
      <c r="C105" s="320" t="str">
        <f t="shared" si="17"/>
        <v>Ju</v>
      </c>
      <c r="D105" s="317" t="str">
        <f>P18</f>
        <v xml:space="preserve"> Ju</v>
      </c>
      <c r="E105" s="320" t="str">
        <f t="shared" si="18"/>
        <v>Ke</v>
      </c>
      <c r="F105" s="317" t="str">
        <f>W18</f>
        <v xml:space="preserve"> Ke</v>
      </c>
      <c r="AF105" s="34"/>
      <c r="AG105" s="34"/>
      <c r="AH105" s="35"/>
      <c r="AI105" s="35"/>
      <c r="AJ105" s="35"/>
      <c r="AK105" s="35"/>
      <c r="AL105" s="1"/>
      <c r="AM105" s="1"/>
      <c r="AN105" s="1"/>
      <c r="AO105" s="1"/>
      <c r="AP105" s="30"/>
      <c r="AQ105" s="34"/>
    </row>
    <row r="106" spans="1:43" ht="20.100000000000001" hidden="1" customHeight="1" x14ac:dyDescent="0.25">
      <c r="A106" s="32"/>
      <c r="B106" s="319" t="s">
        <v>50</v>
      </c>
      <c r="C106" s="320" t="str">
        <f t="shared" si="17"/>
        <v>Ma</v>
      </c>
      <c r="D106" s="317" t="str">
        <f>P19</f>
        <v xml:space="preserve"> Ma, Me</v>
      </c>
      <c r="E106" s="320" t="str">
        <f t="shared" si="18"/>
        <v/>
      </c>
      <c r="F106" s="317" t="str">
        <f>W19</f>
        <v/>
      </c>
      <c r="AF106" s="34"/>
      <c r="AG106" s="34"/>
      <c r="AH106" s="35"/>
      <c r="AI106" s="35"/>
      <c r="AJ106" s="35"/>
      <c r="AK106" s="35"/>
      <c r="AL106" s="1"/>
      <c r="AM106" s="1"/>
      <c r="AN106" s="1"/>
      <c r="AO106" s="1"/>
      <c r="AP106" s="30"/>
      <c r="AQ106" s="34"/>
    </row>
    <row r="107" spans="1:43" ht="20.100000000000001" hidden="1" customHeight="1" x14ac:dyDescent="0.25">
      <c r="A107" s="32"/>
      <c r="B107" s="319" t="s">
        <v>51</v>
      </c>
      <c r="C107" s="320" t="str">
        <f t="shared" si="17"/>
        <v>Su</v>
      </c>
      <c r="D107" s="317" t="str">
        <f>O19</f>
        <v xml:space="preserve"> Su, Ve, Sa</v>
      </c>
      <c r="E107" s="320" t="str">
        <f t="shared" si="18"/>
        <v/>
      </c>
      <c r="F107" s="317" t="str">
        <f>V19</f>
        <v/>
      </c>
      <c r="AF107" s="34"/>
      <c r="AG107" s="34"/>
      <c r="AH107" s="35"/>
      <c r="AI107" s="35"/>
      <c r="AJ107" s="35"/>
      <c r="AK107" s="35"/>
      <c r="AL107" s="1"/>
      <c r="AM107" s="1"/>
      <c r="AN107" s="1"/>
      <c r="AO107" s="1"/>
      <c r="AP107" s="30"/>
      <c r="AQ107" s="34"/>
    </row>
    <row r="108" spans="1:43" ht="20.100000000000001" hidden="1" customHeight="1" x14ac:dyDescent="0.25">
      <c r="A108" s="32"/>
      <c r="B108" s="319" t="s">
        <v>52</v>
      </c>
      <c r="C108" s="320" t="str">
        <f t="shared" si="17"/>
        <v>Ra</v>
      </c>
      <c r="D108" s="317" t="str">
        <f>N19</f>
        <v xml:space="preserve"> Ra</v>
      </c>
      <c r="E108" s="320" t="str">
        <f t="shared" si="18"/>
        <v>Mo</v>
      </c>
      <c r="F108" s="317" t="str">
        <f>U19</f>
        <v xml:space="preserve"> Mo, Ju</v>
      </c>
      <c r="AF108" s="34"/>
      <c r="AG108" s="34"/>
      <c r="AH108" s="35"/>
      <c r="AI108" s="35"/>
      <c r="AJ108" s="35"/>
      <c r="AK108" s="35"/>
      <c r="AL108" s="1"/>
      <c r="AM108" s="1"/>
      <c r="AN108" s="1"/>
      <c r="AO108" s="1"/>
      <c r="AP108" s="30"/>
      <c r="AQ108" s="34"/>
    </row>
    <row r="109" spans="1:43" ht="20.100000000000001" hidden="1" customHeight="1" x14ac:dyDescent="0.25">
      <c r="A109" s="32"/>
      <c r="B109" s="319" t="s">
        <v>53</v>
      </c>
      <c r="C109" s="320" t="str">
        <f t="shared" si="17"/>
        <v/>
      </c>
      <c r="D109" s="317" t="str">
        <f>M19</f>
        <v/>
      </c>
      <c r="E109" s="320" t="str">
        <f t="shared" si="18"/>
        <v/>
      </c>
      <c r="F109" s="317" t="str">
        <f>T19</f>
        <v/>
      </c>
      <c r="AF109" s="34"/>
      <c r="AG109" s="34"/>
      <c r="AH109" s="35"/>
      <c r="AI109" s="35"/>
      <c r="AJ109" s="35"/>
      <c r="AK109" s="35"/>
      <c r="AL109" s="1"/>
      <c r="AM109" s="1"/>
      <c r="AN109" s="1"/>
      <c r="AO109" s="1"/>
      <c r="AP109" s="30"/>
      <c r="AQ109" s="34"/>
    </row>
    <row r="110" spans="1:43" ht="20.100000000000001" hidden="1" customHeight="1" x14ac:dyDescent="0.25">
      <c r="A110" s="32"/>
      <c r="B110" s="319" t="s">
        <v>54</v>
      </c>
      <c r="C110" s="320" t="str">
        <f t="shared" si="17"/>
        <v/>
      </c>
      <c r="D110" s="317" t="str">
        <f>M18</f>
        <v/>
      </c>
      <c r="E110" s="320" t="str">
        <f t="shared" si="18"/>
        <v>Su</v>
      </c>
      <c r="F110" s="317" t="str">
        <f>T18</f>
        <v xml:space="preserve"> Su</v>
      </c>
      <c r="AF110" s="34"/>
      <c r="AG110" s="34"/>
      <c r="AH110" s="35"/>
      <c r="AI110" s="35"/>
      <c r="AJ110" s="35"/>
      <c r="AK110" s="35"/>
      <c r="AL110" s="1"/>
      <c r="AM110" s="1"/>
      <c r="AN110" s="1"/>
      <c r="AO110" s="1"/>
      <c r="AP110" s="30"/>
      <c r="AQ110" s="34"/>
    </row>
    <row r="111" spans="1:43" ht="20.100000000000001" hidden="1" customHeight="1" x14ac:dyDescent="0.25">
      <c r="A111" s="27"/>
      <c r="B111" s="319" t="s">
        <v>55</v>
      </c>
      <c r="C111" s="320" t="str">
        <f t="shared" si="17"/>
        <v/>
      </c>
      <c r="D111" s="317" t="str">
        <f>M17</f>
        <v/>
      </c>
      <c r="E111" s="320" t="str">
        <f t="shared" si="18"/>
        <v>Ra</v>
      </c>
      <c r="F111" s="317" t="str">
        <f>T17</f>
        <v xml:space="preserve"> Ra</v>
      </c>
      <c r="AF111" s="34"/>
      <c r="AG111" s="34"/>
      <c r="AH111" s="35"/>
      <c r="AI111" s="35"/>
      <c r="AJ111" s="35"/>
      <c r="AK111" s="35"/>
      <c r="AL111" s="1"/>
      <c r="AM111" s="1"/>
      <c r="AN111" s="1"/>
      <c r="AO111" s="1"/>
      <c r="AP111" s="30"/>
      <c r="AQ111" s="34"/>
    </row>
    <row r="112" spans="1:43" ht="20.100000000000001" hidden="1" customHeight="1" x14ac:dyDescent="0.25">
      <c r="A112" s="27"/>
      <c r="B112" s="319" t="s">
        <v>56</v>
      </c>
      <c r="C112" s="320" t="str">
        <f t="shared" si="17"/>
        <v>Mo</v>
      </c>
      <c r="D112" s="317" t="str">
        <f>M16</f>
        <v xml:space="preserve"> Mo</v>
      </c>
      <c r="E112" s="320" t="str">
        <f t="shared" si="18"/>
        <v/>
      </c>
      <c r="F112" s="317" t="str">
        <f>T16</f>
        <v/>
      </c>
      <c r="AF112" s="34"/>
      <c r="AG112" s="34"/>
      <c r="AH112" s="35"/>
      <c r="AI112" s="35"/>
      <c r="AJ112" s="35"/>
      <c r="AK112" s="35"/>
      <c r="AL112" s="1"/>
      <c r="AM112" s="1"/>
      <c r="AN112" s="1"/>
      <c r="AO112" s="1"/>
      <c r="AP112" s="30"/>
      <c r="AQ112" s="34"/>
    </row>
    <row r="113" spans="1:43" ht="20.100000000000001" hidden="1" customHeight="1" x14ac:dyDescent="0.25">
      <c r="A113" s="181"/>
      <c r="B113" s="11"/>
      <c r="C113" s="11"/>
      <c r="D113" s="11"/>
      <c r="E113" s="11"/>
      <c r="F113" s="11"/>
      <c r="AF113" s="34"/>
      <c r="AG113" s="34"/>
      <c r="AH113" s="35"/>
      <c r="AI113" s="35"/>
      <c r="AJ113" s="35"/>
      <c r="AK113" s="35"/>
      <c r="AL113" s="1"/>
      <c r="AM113" s="1"/>
      <c r="AN113" s="1"/>
      <c r="AO113" s="1"/>
      <c r="AP113" s="30"/>
      <c r="AQ113" s="34"/>
    </row>
    <row r="114" spans="1:43" ht="20.100000000000001" hidden="1" customHeight="1" x14ac:dyDescent="0.25">
      <c r="A114" s="70"/>
      <c r="AF114" s="34"/>
      <c r="AG114" s="34"/>
      <c r="AH114" s="35"/>
      <c r="AI114" s="35"/>
      <c r="AJ114" s="35"/>
      <c r="AK114" s="35"/>
      <c r="AL114" s="1"/>
      <c r="AM114" s="1"/>
      <c r="AN114" s="1"/>
      <c r="AO114" s="1"/>
      <c r="AP114" s="30"/>
      <c r="AQ114" s="34"/>
    </row>
    <row r="115" spans="1:43" ht="20.100000000000001" hidden="1" customHeight="1" x14ac:dyDescent="0.35">
      <c r="A115" s="71"/>
      <c r="B115" s="160"/>
      <c r="C115" s="179"/>
      <c r="D115" s="346"/>
      <c r="E115" s="180"/>
      <c r="F115" s="160"/>
      <c r="G115" s="71"/>
      <c r="AF115" s="34"/>
      <c r="AG115" s="34"/>
      <c r="AH115" s="35"/>
      <c r="AI115" s="35"/>
      <c r="AJ115" s="35"/>
      <c r="AK115" s="35"/>
      <c r="AL115" s="1"/>
      <c r="AM115" s="1"/>
      <c r="AN115" s="1"/>
      <c r="AO115" s="1"/>
      <c r="AP115" s="30"/>
      <c r="AQ115" s="34"/>
    </row>
    <row r="116" spans="1:43" ht="20.100000000000001" hidden="1" customHeight="1" x14ac:dyDescent="0.35">
      <c r="A116" s="71"/>
      <c r="B116" s="71"/>
      <c r="C116" s="72"/>
      <c r="D116" s="346"/>
      <c r="E116" s="72"/>
      <c r="F116" s="71"/>
      <c r="G116" s="160"/>
      <c r="AF116" s="34"/>
      <c r="AG116" s="34"/>
      <c r="AH116" s="35"/>
      <c r="AI116" s="35"/>
      <c r="AJ116" s="35"/>
      <c r="AK116" s="35"/>
      <c r="AL116" s="1"/>
      <c r="AM116" s="1"/>
      <c r="AN116" s="1"/>
      <c r="AO116" s="1"/>
      <c r="AP116" s="30"/>
      <c r="AQ116" s="34"/>
    </row>
    <row r="117" spans="1:43" ht="20.100000000000001" hidden="1" customHeight="1" x14ac:dyDescent="0.35">
      <c r="A117" s="160"/>
      <c r="B117" s="346"/>
      <c r="C117" s="346"/>
      <c r="D117" s="73"/>
      <c r="E117" s="347"/>
      <c r="F117" s="347"/>
      <c r="G117" s="71"/>
      <c r="AF117" s="34"/>
      <c r="AG117" s="34"/>
      <c r="AH117" s="35"/>
      <c r="AI117" s="35"/>
      <c r="AJ117" s="35"/>
      <c r="AK117" s="35"/>
      <c r="AL117" s="1"/>
      <c r="AM117" s="1"/>
      <c r="AN117" s="1"/>
      <c r="AO117" s="1"/>
      <c r="AP117" s="30"/>
      <c r="AQ117" s="34"/>
    </row>
    <row r="118" spans="1:43" ht="20.100000000000001" hidden="1" customHeight="1" x14ac:dyDescent="0.35">
      <c r="A118" s="71"/>
      <c r="B118" s="74"/>
      <c r="C118" s="72"/>
      <c r="D118" s="348"/>
      <c r="E118" s="72"/>
      <c r="F118" s="71"/>
      <c r="G118" s="71"/>
      <c r="AF118" s="34"/>
      <c r="AG118" s="34"/>
      <c r="AH118" s="35"/>
      <c r="AI118" s="35"/>
      <c r="AJ118" s="35"/>
      <c r="AK118" s="35"/>
      <c r="AL118" s="1"/>
      <c r="AM118" s="1"/>
      <c r="AN118" s="1"/>
      <c r="AO118" s="1"/>
      <c r="AP118" s="30"/>
      <c r="AQ118" s="34"/>
    </row>
    <row r="119" spans="1:43" ht="20.100000000000001" hidden="1" customHeight="1" x14ac:dyDescent="0.35">
      <c r="A119" s="27"/>
      <c r="B119" s="71"/>
      <c r="C119" s="72"/>
      <c r="D119" s="348"/>
      <c r="E119" s="72"/>
      <c r="F119" s="71"/>
      <c r="G119" s="160"/>
      <c r="AF119" s="34"/>
      <c r="AG119" s="34"/>
      <c r="AH119" s="35"/>
      <c r="AI119" s="35"/>
      <c r="AJ119" s="35"/>
      <c r="AK119" s="35"/>
      <c r="AL119" s="1"/>
      <c r="AM119" s="1"/>
      <c r="AN119" s="1"/>
      <c r="AO119" s="1"/>
      <c r="AP119" s="30"/>
      <c r="AQ119" s="34"/>
    </row>
    <row r="120" spans="1:43" ht="20.100000000000001" hidden="1" customHeight="1" x14ac:dyDescent="0.35">
      <c r="A120" s="27"/>
      <c r="B120" s="160"/>
      <c r="C120" s="71"/>
      <c r="D120" s="71"/>
      <c r="E120" s="71"/>
      <c r="F120" s="160"/>
      <c r="G120" s="71"/>
      <c r="AF120" s="34"/>
      <c r="AG120" s="34"/>
      <c r="AH120" s="35"/>
      <c r="AI120" s="35"/>
      <c r="AJ120" s="35"/>
      <c r="AK120" s="35"/>
      <c r="AL120" s="1"/>
      <c r="AM120" s="1"/>
      <c r="AN120" s="1"/>
      <c r="AO120" s="1"/>
      <c r="AP120" s="30"/>
      <c r="AQ120" s="34"/>
    </row>
    <row r="121" spans="1:43" ht="20.100000000000001" hidden="1" customHeight="1" x14ac:dyDescent="0.25">
      <c r="A121" s="23" t="s">
        <v>68</v>
      </c>
      <c r="AF121" s="34"/>
      <c r="AG121" s="34"/>
      <c r="AH121" s="35"/>
      <c r="AI121" s="35"/>
      <c r="AJ121" s="35"/>
      <c r="AK121" s="35"/>
      <c r="AL121" s="1"/>
      <c r="AM121" s="1"/>
      <c r="AN121" s="1"/>
      <c r="AO121" s="1"/>
      <c r="AP121" s="30"/>
      <c r="AQ121" s="34"/>
    </row>
    <row r="122" spans="1:43" ht="20.100000000000001" hidden="1" customHeight="1" x14ac:dyDescent="0.25">
      <c r="A122" s="23">
        <v>2</v>
      </c>
      <c r="AF122" s="34"/>
      <c r="AG122" s="34"/>
      <c r="AH122" s="35"/>
      <c r="AI122" s="35"/>
      <c r="AJ122" s="35"/>
      <c r="AK122" s="35"/>
      <c r="AL122" s="1"/>
      <c r="AM122" s="1"/>
      <c r="AN122" s="1"/>
      <c r="AO122" s="1"/>
      <c r="AP122" s="30"/>
      <c r="AQ122" s="34"/>
    </row>
    <row r="123" spans="1:43" ht="20.100000000000001" hidden="1" customHeight="1" x14ac:dyDescent="0.25">
      <c r="A123" s="23">
        <v>3</v>
      </c>
      <c r="B123" s="91">
        <f>COUNTA(A122:A216)</f>
        <v>95</v>
      </c>
      <c r="AF123" s="34"/>
      <c r="AG123" s="34"/>
      <c r="AH123" s="35"/>
      <c r="AI123" s="35"/>
      <c r="AJ123" s="35"/>
      <c r="AK123" s="35"/>
      <c r="AL123" s="1"/>
      <c r="AM123" s="1"/>
      <c r="AN123" s="1"/>
      <c r="AO123" s="1"/>
      <c r="AP123" s="30"/>
      <c r="AQ123" s="34"/>
    </row>
    <row r="124" spans="1:43" ht="20.100000000000001" hidden="1" customHeight="1" x14ac:dyDescent="0.25">
      <c r="A124" s="23">
        <v>76</v>
      </c>
      <c r="AF124" s="34"/>
      <c r="AG124" s="34"/>
      <c r="AH124" s="35"/>
      <c r="AI124" s="35"/>
      <c r="AJ124" s="35"/>
      <c r="AK124" s="35"/>
      <c r="AL124" s="1"/>
      <c r="AM124" s="1"/>
      <c r="AN124" s="1"/>
      <c r="AO124" s="1"/>
      <c r="AP124" s="30"/>
      <c r="AQ124" s="34"/>
    </row>
    <row r="125" spans="1:43" ht="20.100000000000001" hidden="1" customHeight="1" x14ac:dyDescent="0.25">
      <c r="A125" s="23">
        <v>77</v>
      </c>
      <c r="B125" s="23"/>
      <c r="AF125" s="34"/>
      <c r="AG125" s="34"/>
      <c r="AH125" s="35"/>
      <c r="AI125" s="35"/>
      <c r="AJ125" s="35"/>
      <c r="AK125" s="35"/>
      <c r="AL125" s="1"/>
      <c r="AM125" s="1"/>
      <c r="AN125" s="1"/>
      <c r="AO125" s="1"/>
      <c r="AP125" s="30"/>
      <c r="AQ125" s="34"/>
    </row>
    <row r="126" spans="1:43" ht="20.100000000000001" hidden="1" customHeight="1" x14ac:dyDescent="0.25">
      <c r="A126" s="23">
        <v>82</v>
      </c>
      <c r="B126" s="23"/>
      <c r="AF126" s="34"/>
      <c r="AG126" s="34"/>
      <c r="AH126" s="35"/>
      <c r="AI126" s="35"/>
      <c r="AJ126" s="35"/>
      <c r="AK126" s="35"/>
      <c r="AL126" s="1"/>
      <c r="AM126" s="1"/>
      <c r="AN126" s="1"/>
      <c r="AO126" s="1"/>
      <c r="AP126" s="30"/>
      <c r="AQ126" s="34"/>
    </row>
    <row r="127" spans="1:43" ht="20.100000000000001" hidden="1" customHeight="1" x14ac:dyDescent="0.25">
      <c r="A127" s="23">
        <v>87</v>
      </c>
      <c r="B127" s="23"/>
      <c r="AF127" s="34"/>
      <c r="AG127" s="34"/>
      <c r="AH127" s="35"/>
      <c r="AI127" s="35"/>
      <c r="AJ127" s="35"/>
      <c r="AK127" s="35"/>
      <c r="AL127" s="1"/>
      <c r="AM127" s="1"/>
      <c r="AN127" s="1"/>
      <c r="AO127" s="1"/>
      <c r="AP127" s="30"/>
      <c r="AQ127" s="34"/>
    </row>
    <row r="128" spans="1:43" ht="20.100000000000001" hidden="1" customHeight="1" x14ac:dyDescent="0.25">
      <c r="A128" s="23">
        <v>98</v>
      </c>
      <c r="B128" s="23"/>
      <c r="AF128" s="34"/>
      <c r="AG128" s="34"/>
      <c r="AH128" s="35"/>
      <c r="AI128" s="35"/>
      <c r="AJ128" s="35"/>
      <c r="AK128" s="35"/>
      <c r="AL128" s="1"/>
      <c r="AM128" s="1"/>
      <c r="AN128" s="1"/>
      <c r="AO128" s="1"/>
      <c r="AP128" s="30"/>
      <c r="AQ128" s="34"/>
    </row>
    <row r="129" spans="1:43" ht="20.100000000000001" hidden="1" customHeight="1" x14ac:dyDescent="0.25">
      <c r="A129" s="23">
        <v>108</v>
      </c>
      <c r="B129" s="23"/>
      <c r="AF129" s="34"/>
      <c r="AG129" s="34"/>
      <c r="AH129" s="35"/>
      <c r="AI129" s="35"/>
      <c r="AJ129" s="35"/>
      <c r="AK129" s="35"/>
      <c r="AL129" s="1"/>
      <c r="AM129" s="1"/>
      <c r="AN129" s="1"/>
      <c r="AO129" s="1"/>
      <c r="AP129" s="30"/>
      <c r="AQ129" s="34"/>
    </row>
    <row r="130" spans="1:43" ht="20.100000000000001" hidden="1" customHeight="1" x14ac:dyDescent="0.25">
      <c r="A130" s="23">
        <v>117</v>
      </c>
      <c r="B130" s="23"/>
      <c r="AF130" s="34"/>
      <c r="AG130" s="34"/>
      <c r="AH130" s="35"/>
      <c r="AI130" s="35"/>
      <c r="AJ130" s="35"/>
      <c r="AK130" s="35"/>
      <c r="AL130" s="1"/>
      <c r="AM130" s="1"/>
      <c r="AN130" s="1"/>
      <c r="AO130" s="1"/>
      <c r="AP130" s="30"/>
      <c r="AQ130" s="34"/>
    </row>
    <row r="131" spans="1:43" ht="20.100000000000001" hidden="1" customHeight="1" x14ac:dyDescent="0.25">
      <c r="A131" s="23">
        <v>124</v>
      </c>
      <c r="B131" s="23"/>
      <c r="AF131" s="34"/>
      <c r="AG131" s="34"/>
      <c r="AH131" s="35"/>
      <c r="AI131" s="35"/>
      <c r="AJ131" s="35"/>
      <c r="AK131" s="35"/>
      <c r="AL131" s="1"/>
      <c r="AM131" s="1"/>
      <c r="AN131" s="1"/>
      <c r="AO131" s="1"/>
      <c r="AP131" s="30"/>
      <c r="AQ131" s="34"/>
    </row>
    <row r="132" spans="1:43" ht="20.100000000000001" hidden="1" customHeight="1" x14ac:dyDescent="0.25">
      <c r="A132" s="23">
        <v>125</v>
      </c>
      <c r="B132" s="23"/>
      <c r="AF132" s="34"/>
      <c r="AG132" s="34"/>
      <c r="AH132" s="35"/>
      <c r="AI132" s="35"/>
      <c r="AJ132" s="35"/>
      <c r="AK132" s="35"/>
      <c r="AL132" s="1"/>
      <c r="AM132" s="1"/>
      <c r="AN132" s="1"/>
      <c r="AO132" s="1"/>
      <c r="AP132" s="30"/>
      <c r="AQ132" s="34"/>
    </row>
    <row r="133" spans="1:43" ht="20.100000000000001" hidden="1" customHeight="1" x14ac:dyDescent="0.25">
      <c r="A133" s="23">
        <v>127</v>
      </c>
      <c r="B133" s="23"/>
      <c r="AF133" s="34"/>
      <c r="AG133" s="34"/>
      <c r="AH133" s="35"/>
      <c r="AI133" s="35"/>
      <c r="AJ133" s="35"/>
      <c r="AK133" s="35"/>
      <c r="AL133" s="1"/>
      <c r="AM133" s="1"/>
      <c r="AN133" s="1"/>
      <c r="AO133" s="1"/>
      <c r="AP133" s="30"/>
      <c r="AQ133" s="34"/>
    </row>
    <row r="134" spans="1:43" ht="20.100000000000001" hidden="1" customHeight="1" x14ac:dyDescent="0.25">
      <c r="A134" s="23">
        <v>135</v>
      </c>
      <c r="B134" s="23"/>
      <c r="AF134" s="34"/>
      <c r="AG134" s="34"/>
      <c r="AH134" s="35"/>
      <c r="AI134" s="35"/>
      <c r="AJ134" s="35"/>
      <c r="AK134" s="35"/>
      <c r="AL134" s="1"/>
      <c r="AM134" s="1"/>
      <c r="AN134" s="1"/>
      <c r="AO134" s="1"/>
      <c r="AP134" s="30"/>
      <c r="AQ134" s="34"/>
    </row>
    <row r="135" spans="1:43" ht="20.100000000000001" hidden="1" customHeight="1" x14ac:dyDescent="0.25">
      <c r="A135" s="23">
        <v>141</v>
      </c>
      <c r="B135" s="23"/>
      <c r="AF135" s="34"/>
      <c r="AG135" s="34"/>
      <c r="AH135" s="35"/>
      <c r="AI135" s="35"/>
      <c r="AJ135" s="35"/>
      <c r="AK135" s="35"/>
      <c r="AL135" s="1"/>
      <c r="AM135" s="1"/>
      <c r="AN135" s="1"/>
      <c r="AO135" s="1"/>
      <c r="AP135" s="30"/>
      <c r="AQ135" s="34"/>
    </row>
    <row r="136" spans="1:43" ht="20.100000000000001" hidden="1" customHeight="1" x14ac:dyDescent="0.25">
      <c r="A136" s="23">
        <v>143</v>
      </c>
      <c r="B136" s="23"/>
      <c r="AF136" s="34"/>
      <c r="AG136" s="34"/>
      <c r="AH136" s="35"/>
      <c r="AI136" s="35"/>
      <c r="AJ136" s="35"/>
      <c r="AK136" s="35"/>
      <c r="AL136" s="1"/>
      <c r="AM136" s="1"/>
      <c r="AN136" s="1"/>
      <c r="AO136" s="1"/>
      <c r="AP136" s="30"/>
      <c r="AQ136" s="34"/>
    </row>
    <row r="137" spans="1:43" ht="20.100000000000001" hidden="1" customHeight="1" x14ac:dyDescent="0.25">
      <c r="A137" s="23">
        <v>147</v>
      </c>
      <c r="B137" s="23"/>
      <c r="AF137" s="34"/>
      <c r="AG137" s="34"/>
      <c r="AH137" s="35"/>
      <c r="AI137" s="35"/>
      <c r="AJ137" s="35"/>
      <c r="AK137" s="35"/>
      <c r="AL137" s="1"/>
      <c r="AM137" s="1"/>
      <c r="AN137" s="1"/>
      <c r="AO137" s="1"/>
      <c r="AP137" s="30"/>
      <c r="AQ137" s="34"/>
    </row>
    <row r="138" spans="1:43" ht="20.100000000000001" hidden="1" customHeight="1" x14ac:dyDescent="0.25">
      <c r="A138" s="23">
        <v>182</v>
      </c>
      <c r="B138" s="23"/>
      <c r="AD138" t="s">
        <v>41</v>
      </c>
      <c r="AG138" s="36" t="s">
        <v>42</v>
      </c>
      <c r="AH138" s="1"/>
      <c r="AI138" s="1"/>
      <c r="AJ138" s="1"/>
      <c r="AK138" s="1"/>
      <c r="AL138" s="24"/>
      <c r="AM138" s="24"/>
      <c r="AN138" s="24"/>
      <c r="AO138" s="24"/>
      <c r="AP138" s="30"/>
      <c r="AQ138" s="34"/>
    </row>
    <row r="139" spans="1:43" ht="20.100000000000001" hidden="1" customHeight="1" x14ac:dyDescent="0.25">
      <c r="A139" s="23">
        <v>199</v>
      </c>
      <c r="B139" s="23"/>
      <c r="AD139" s="10" t="s">
        <v>43</v>
      </c>
      <c r="AE139" s="10" t="s">
        <v>44</v>
      </c>
      <c r="AF139" s="37" t="s">
        <v>45</v>
      </c>
      <c r="AG139" s="37" t="s">
        <v>46</v>
      </c>
      <c r="AH139" s="37" t="s">
        <v>47</v>
      </c>
      <c r="AI139" s="37" t="s">
        <v>48</v>
      </c>
      <c r="AJ139" s="37" t="s">
        <v>49</v>
      </c>
      <c r="AK139" s="37" t="s">
        <v>50</v>
      </c>
      <c r="AL139" s="37" t="s">
        <v>51</v>
      </c>
      <c r="AM139" s="37" t="s">
        <v>52</v>
      </c>
      <c r="AN139" s="37" t="s">
        <v>53</v>
      </c>
      <c r="AO139" s="37" t="s">
        <v>54</v>
      </c>
      <c r="AP139" s="37" t="s">
        <v>55</v>
      </c>
      <c r="AQ139" s="37" t="s">
        <v>56</v>
      </c>
    </row>
    <row r="140" spans="1:43" ht="20.100000000000001" hidden="1" customHeight="1" x14ac:dyDescent="0.25">
      <c r="A140" s="23">
        <v>206</v>
      </c>
      <c r="B140" s="23"/>
      <c r="AD140" s="10">
        <v>1</v>
      </c>
      <c r="AE140" s="10">
        <v>0</v>
      </c>
      <c r="AF140" s="38" t="s">
        <v>45</v>
      </c>
      <c r="AG140" s="39" t="s">
        <v>54</v>
      </c>
      <c r="AH140" s="38" t="s">
        <v>47</v>
      </c>
      <c r="AI140" s="39" t="s">
        <v>56</v>
      </c>
      <c r="AJ140" s="38" t="s">
        <v>49</v>
      </c>
      <c r="AK140" s="39" t="s">
        <v>46</v>
      </c>
      <c r="AL140" s="38" t="s">
        <v>51</v>
      </c>
      <c r="AM140" s="39" t="s">
        <v>48</v>
      </c>
      <c r="AN140" s="38" t="s">
        <v>53</v>
      </c>
      <c r="AO140" s="39" t="s">
        <v>50</v>
      </c>
      <c r="AP140" s="38" t="s">
        <v>55</v>
      </c>
      <c r="AQ140" s="39" t="s">
        <v>52</v>
      </c>
    </row>
    <row r="141" spans="1:43" ht="20.100000000000001" hidden="1" customHeight="1" x14ac:dyDescent="0.25">
      <c r="A141" s="23">
        <v>210</v>
      </c>
      <c r="B141" s="23"/>
      <c r="AD141" s="10">
        <v>2</v>
      </c>
      <c r="AE141" s="10">
        <v>3</v>
      </c>
      <c r="AF141" s="38" t="s">
        <v>46</v>
      </c>
      <c r="AG141" s="39" t="s">
        <v>55</v>
      </c>
      <c r="AH141" s="38" t="s">
        <v>48</v>
      </c>
      <c r="AI141" s="39" t="s">
        <v>45</v>
      </c>
      <c r="AJ141" s="38" t="s">
        <v>50</v>
      </c>
      <c r="AK141" s="39" t="s">
        <v>47</v>
      </c>
      <c r="AL141" s="38" t="s">
        <v>52</v>
      </c>
      <c r="AM141" s="39" t="s">
        <v>49</v>
      </c>
      <c r="AN141" s="38" t="s">
        <v>54</v>
      </c>
      <c r="AO141" s="39" t="s">
        <v>51</v>
      </c>
      <c r="AP141" s="38" t="s">
        <v>56</v>
      </c>
      <c r="AQ141" s="39" t="s">
        <v>53</v>
      </c>
    </row>
    <row r="142" spans="1:43" ht="20.100000000000001" hidden="1" customHeight="1" x14ac:dyDescent="0.25">
      <c r="A142" s="23">
        <v>211</v>
      </c>
      <c r="B142" s="23"/>
      <c r="AD142" s="10">
        <v>3</v>
      </c>
      <c r="AE142" s="10">
        <v>6</v>
      </c>
      <c r="AF142" s="38" t="s">
        <v>47</v>
      </c>
      <c r="AG142" s="39" t="s">
        <v>56</v>
      </c>
      <c r="AH142" s="38" t="s">
        <v>49</v>
      </c>
      <c r="AI142" s="39" t="s">
        <v>46</v>
      </c>
      <c r="AJ142" s="38" t="s">
        <v>51</v>
      </c>
      <c r="AK142" s="39" t="s">
        <v>48</v>
      </c>
      <c r="AL142" s="38" t="s">
        <v>53</v>
      </c>
      <c r="AM142" s="39" t="s">
        <v>50</v>
      </c>
      <c r="AN142" s="38" t="s">
        <v>55</v>
      </c>
      <c r="AO142" s="39" t="s">
        <v>52</v>
      </c>
      <c r="AP142" s="38" t="s">
        <v>45</v>
      </c>
      <c r="AQ142" s="39" t="s">
        <v>54</v>
      </c>
    </row>
    <row r="143" spans="1:43" ht="20.100000000000001" hidden="1" customHeight="1" x14ac:dyDescent="0.25">
      <c r="A143" s="23">
        <v>213</v>
      </c>
      <c r="B143" s="23"/>
      <c r="AD143" s="10">
        <v>4</v>
      </c>
      <c r="AE143" s="10">
        <v>9</v>
      </c>
      <c r="AF143" s="38" t="s">
        <v>48</v>
      </c>
      <c r="AG143" s="39" t="s">
        <v>45</v>
      </c>
      <c r="AH143" s="38" t="s">
        <v>50</v>
      </c>
      <c r="AI143" s="39" t="s">
        <v>47</v>
      </c>
      <c r="AJ143" s="38" t="s">
        <v>52</v>
      </c>
      <c r="AK143" s="39" t="s">
        <v>49</v>
      </c>
      <c r="AL143" s="38" t="s">
        <v>54</v>
      </c>
      <c r="AM143" s="39" t="s">
        <v>51</v>
      </c>
      <c r="AN143" s="38" t="s">
        <v>56</v>
      </c>
      <c r="AO143" s="39" t="s">
        <v>53</v>
      </c>
      <c r="AP143" s="38" t="s">
        <v>46</v>
      </c>
      <c r="AQ143" s="39" t="s">
        <v>55</v>
      </c>
    </row>
    <row r="144" spans="1:43" ht="20.100000000000001" hidden="1" customHeight="1" x14ac:dyDescent="0.25">
      <c r="A144" s="23">
        <v>233</v>
      </c>
      <c r="B144" s="23"/>
      <c r="AD144" s="10">
        <v>5</v>
      </c>
      <c r="AE144" s="10">
        <v>12</v>
      </c>
      <c r="AF144" s="38" t="s">
        <v>49</v>
      </c>
      <c r="AG144" s="39" t="s">
        <v>46</v>
      </c>
      <c r="AH144" s="38" t="s">
        <v>51</v>
      </c>
      <c r="AI144" s="39" t="s">
        <v>48</v>
      </c>
      <c r="AJ144" s="38" t="s">
        <v>53</v>
      </c>
      <c r="AK144" s="39" t="s">
        <v>50</v>
      </c>
      <c r="AL144" s="38" t="s">
        <v>55</v>
      </c>
      <c r="AM144" s="39" t="s">
        <v>52</v>
      </c>
      <c r="AN144" s="38" t="s">
        <v>45</v>
      </c>
      <c r="AO144" s="39" t="s">
        <v>54</v>
      </c>
      <c r="AP144" s="38" t="s">
        <v>47</v>
      </c>
      <c r="AQ144" s="39" t="s">
        <v>56</v>
      </c>
    </row>
    <row r="145" spans="1:43" ht="20.100000000000001" hidden="1" customHeight="1" x14ac:dyDescent="0.25">
      <c r="A145" s="23">
        <v>243</v>
      </c>
      <c r="B145" s="23"/>
      <c r="AD145" s="10">
        <v>6</v>
      </c>
      <c r="AE145" s="10">
        <v>15</v>
      </c>
      <c r="AF145" s="38" t="s">
        <v>50</v>
      </c>
      <c r="AG145" s="39" t="s">
        <v>47</v>
      </c>
      <c r="AH145" s="38" t="s">
        <v>52</v>
      </c>
      <c r="AI145" s="39" t="s">
        <v>49</v>
      </c>
      <c r="AJ145" s="38" t="s">
        <v>54</v>
      </c>
      <c r="AK145" s="39" t="s">
        <v>51</v>
      </c>
      <c r="AL145" s="38" t="s">
        <v>56</v>
      </c>
      <c r="AM145" s="39" t="s">
        <v>53</v>
      </c>
      <c r="AN145" s="38" t="s">
        <v>46</v>
      </c>
      <c r="AO145" s="39" t="s">
        <v>55</v>
      </c>
      <c r="AP145" s="38" t="s">
        <v>48</v>
      </c>
      <c r="AQ145" s="39" t="s">
        <v>45</v>
      </c>
    </row>
    <row r="146" spans="1:43" ht="20.100000000000001" hidden="1" customHeight="1" x14ac:dyDescent="0.25">
      <c r="A146" s="23">
        <v>351</v>
      </c>
      <c r="B146" s="23"/>
      <c r="AD146" s="10">
        <v>7</v>
      </c>
      <c r="AE146" s="10">
        <v>18</v>
      </c>
      <c r="AF146" s="38" t="s">
        <v>51</v>
      </c>
      <c r="AG146" s="39" t="s">
        <v>48</v>
      </c>
      <c r="AH146" s="38" t="s">
        <v>53</v>
      </c>
      <c r="AI146" s="39" t="s">
        <v>50</v>
      </c>
      <c r="AJ146" s="38" t="s">
        <v>55</v>
      </c>
      <c r="AK146" s="39" t="s">
        <v>52</v>
      </c>
      <c r="AL146" s="38" t="s">
        <v>45</v>
      </c>
      <c r="AM146" s="39" t="s">
        <v>54</v>
      </c>
      <c r="AN146" s="38" t="s">
        <v>47</v>
      </c>
      <c r="AO146" s="39" t="s">
        <v>56</v>
      </c>
      <c r="AP146" s="38" t="s">
        <v>49</v>
      </c>
      <c r="AQ146" s="39" t="s">
        <v>46</v>
      </c>
    </row>
    <row r="147" spans="1:43" ht="20.100000000000001" hidden="1" customHeight="1" x14ac:dyDescent="0.25">
      <c r="A147" s="23">
        <v>401</v>
      </c>
      <c r="B147" s="23"/>
      <c r="AD147" s="10">
        <v>8</v>
      </c>
      <c r="AE147" s="10">
        <v>21</v>
      </c>
      <c r="AF147" s="38" t="s">
        <v>52</v>
      </c>
      <c r="AG147" s="39" t="s">
        <v>49</v>
      </c>
      <c r="AH147" s="38" t="s">
        <v>54</v>
      </c>
      <c r="AI147" s="39" t="s">
        <v>51</v>
      </c>
      <c r="AJ147" s="38" t="s">
        <v>56</v>
      </c>
      <c r="AK147" s="39" t="s">
        <v>53</v>
      </c>
      <c r="AL147" s="38" t="s">
        <v>46</v>
      </c>
      <c r="AM147" s="39" t="s">
        <v>55</v>
      </c>
      <c r="AN147" s="38" t="s">
        <v>48</v>
      </c>
      <c r="AO147" s="39" t="s">
        <v>45</v>
      </c>
      <c r="AP147" s="38" t="s">
        <v>50</v>
      </c>
      <c r="AQ147" s="39" t="s">
        <v>47</v>
      </c>
    </row>
    <row r="148" spans="1:43" ht="20.100000000000001" hidden="1" customHeight="1" x14ac:dyDescent="0.25">
      <c r="A148" s="23">
        <v>407</v>
      </c>
      <c r="B148" s="23"/>
      <c r="AD148" s="10">
        <v>9</v>
      </c>
      <c r="AE148" s="10">
        <v>24</v>
      </c>
      <c r="AF148" s="38" t="s">
        <v>53</v>
      </c>
      <c r="AG148" s="39" t="s">
        <v>50</v>
      </c>
      <c r="AH148" s="38" t="s">
        <v>55</v>
      </c>
      <c r="AI148" s="39" t="s">
        <v>52</v>
      </c>
      <c r="AJ148" s="38" t="s">
        <v>45</v>
      </c>
      <c r="AK148" s="39" t="s">
        <v>54</v>
      </c>
      <c r="AL148" s="38" t="s">
        <v>47</v>
      </c>
      <c r="AM148" s="39" t="s">
        <v>56</v>
      </c>
      <c r="AN148" s="38" t="s">
        <v>49</v>
      </c>
      <c r="AO148" s="39" t="s">
        <v>46</v>
      </c>
      <c r="AP148" s="38" t="s">
        <v>51</v>
      </c>
      <c r="AQ148" s="39" t="s">
        <v>48</v>
      </c>
    </row>
    <row r="149" spans="1:43" ht="20.100000000000001" hidden="1" customHeight="1" x14ac:dyDescent="0.25">
      <c r="A149" s="23">
        <v>425</v>
      </c>
      <c r="B149" s="23"/>
      <c r="AD149" s="10">
        <v>10</v>
      </c>
      <c r="AE149" s="10">
        <v>27</v>
      </c>
      <c r="AF149" s="38" t="s">
        <v>54</v>
      </c>
      <c r="AG149" s="39" t="s">
        <v>51</v>
      </c>
      <c r="AH149" s="38" t="s">
        <v>56</v>
      </c>
      <c r="AI149" s="39" t="s">
        <v>53</v>
      </c>
      <c r="AJ149" s="38" t="s">
        <v>46</v>
      </c>
      <c r="AK149" s="39" t="s">
        <v>55</v>
      </c>
      <c r="AL149" s="38" t="s">
        <v>48</v>
      </c>
      <c r="AM149" s="39" t="s">
        <v>45</v>
      </c>
      <c r="AN149" s="38" t="s">
        <v>50</v>
      </c>
      <c r="AO149" s="39" t="s">
        <v>47</v>
      </c>
      <c r="AP149" s="38" t="s">
        <v>52</v>
      </c>
      <c r="AQ149" s="39" t="s">
        <v>49</v>
      </c>
    </row>
    <row r="150" spans="1:43" ht="20.100000000000001" hidden="1" customHeight="1" x14ac:dyDescent="0.25">
      <c r="A150" s="23">
        <v>431</v>
      </c>
      <c r="B150" s="23"/>
      <c r="AD150" s="10"/>
      <c r="AE150" s="10"/>
      <c r="AG150" s="1"/>
      <c r="AH150" s="1"/>
      <c r="AI150" s="1"/>
      <c r="AJ150" s="1"/>
      <c r="AK150" s="1"/>
      <c r="AL150" s="1"/>
      <c r="AM150" s="1"/>
      <c r="AN150" s="1"/>
      <c r="AO150" s="1"/>
      <c r="AP150" s="40"/>
      <c r="AQ150" s="34"/>
    </row>
    <row r="151" spans="1:43" ht="20.100000000000001" hidden="1" customHeight="1" x14ac:dyDescent="0.25">
      <c r="A151" s="23">
        <v>433</v>
      </c>
      <c r="B151" s="23"/>
      <c r="AD151" s="10"/>
      <c r="AE151" s="10"/>
      <c r="AH151" s="1"/>
      <c r="AI151" s="1"/>
      <c r="AJ151" s="1"/>
      <c r="AK151" s="1"/>
      <c r="AL151" s="1"/>
      <c r="AM151" s="1"/>
      <c r="AN151" s="1"/>
      <c r="AO151" s="1"/>
      <c r="AP151" s="37"/>
      <c r="AQ151" s="34"/>
    </row>
    <row r="152" spans="1:43" ht="20.100000000000001" hidden="1" customHeight="1" x14ac:dyDescent="0.25">
      <c r="A152" s="23">
        <v>436</v>
      </c>
      <c r="B152" s="23"/>
      <c r="AD152" s="10"/>
      <c r="AE152" s="10"/>
      <c r="AG152" s="36" t="s">
        <v>57</v>
      </c>
      <c r="AH152" s="1"/>
      <c r="AI152" s="1"/>
      <c r="AJ152" s="1"/>
      <c r="AK152" s="1"/>
      <c r="AL152" s="24"/>
      <c r="AM152" s="24"/>
      <c r="AN152" s="24"/>
      <c r="AO152" s="24"/>
      <c r="AP152" s="30"/>
      <c r="AQ152" s="34"/>
    </row>
    <row r="153" spans="1:43" ht="20.100000000000001" hidden="1" customHeight="1" x14ac:dyDescent="0.25">
      <c r="A153" s="23">
        <v>441</v>
      </c>
      <c r="B153" s="23"/>
      <c r="AD153" s="10" t="s">
        <v>43</v>
      </c>
      <c r="AE153" s="10" t="s">
        <v>44</v>
      </c>
      <c r="AF153" s="37" t="s">
        <v>45</v>
      </c>
      <c r="AG153" s="37" t="s">
        <v>46</v>
      </c>
      <c r="AH153" s="37" t="s">
        <v>47</v>
      </c>
      <c r="AI153" s="37" t="s">
        <v>48</v>
      </c>
      <c r="AJ153" s="37" t="s">
        <v>49</v>
      </c>
      <c r="AK153" s="37" t="s">
        <v>50</v>
      </c>
      <c r="AL153" s="37" t="s">
        <v>51</v>
      </c>
      <c r="AM153" s="37" t="s">
        <v>52</v>
      </c>
      <c r="AN153" s="37" t="s">
        <v>53</v>
      </c>
      <c r="AO153" s="37" t="s">
        <v>54</v>
      </c>
      <c r="AP153" s="37" t="s">
        <v>55</v>
      </c>
      <c r="AQ153" s="37" t="s">
        <v>56</v>
      </c>
    </row>
    <row r="154" spans="1:43" ht="20.100000000000001" hidden="1" customHeight="1" x14ac:dyDescent="0.25">
      <c r="A154" s="23">
        <v>557</v>
      </c>
      <c r="B154" s="23"/>
      <c r="AD154" s="10">
        <v>1</v>
      </c>
      <c r="AE154" s="10">
        <v>0</v>
      </c>
      <c r="AF154" s="38" t="s">
        <v>45</v>
      </c>
      <c r="AG154" s="39" t="s">
        <v>54</v>
      </c>
      <c r="AH154" s="38" t="s">
        <v>47</v>
      </c>
      <c r="AI154" s="39" t="s">
        <v>56</v>
      </c>
      <c r="AJ154" s="38" t="s">
        <v>49</v>
      </c>
      <c r="AK154" s="39" t="s">
        <v>46</v>
      </c>
      <c r="AL154" s="38" t="s">
        <v>51</v>
      </c>
      <c r="AM154" s="39" t="s">
        <v>48</v>
      </c>
      <c r="AN154" s="38" t="s">
        <v>53</v>
      </c>
      <c r="AO154" s="39" t="s">
        <v>50</v>
      </c>
      <c r="AP154" s="38" t="s">
        <v>55</v>
      </c>
      <c r="AQ154" s="39" t="s">
        <v>52</v>
      </c>
    </row>
    <row r="155" spans="1:43" ht="20.100000000000001" hidden="1" customHeight="1" x14ac:dyDescent="0.25">
      <c r="A155" s="23">
        <v>572</v>
      </c>
      <c r="B155" s="23"/>
      <c r="AD155" s="10">
        <v>2</v>
      </c>
      <c r="AE155" s="10">
        <v>3</v>
      </c>
      <c r="AF155" s="38" t="s">
        <v>46</v>
      </c>
      <c r="AG155" s="39" t="s">
        <v>53</v>
      </c>
      <c r="AH155" s="38" t="s">
        <v>48</v>
      </c>
      <c r="AI155" s="39" t="s">
        <v>55</v>
      </c>
      <c r="AJ155" s="38" t="s">
        <v>50</v>
      </c>
      <c r="AK155" s="39" t="s">
        <v>45</v>
      </c>
      <c r="AL155" s="38" t="s">
        <v>52</v>
      </c>
      <c r="AM155" s="39" t="s">
        <v>47</v>
      </c>
      <c r="AN155" s="38" t="s">
        <v>54</v>
      </c>
      <c r="AO155" s="39" t="s">
        <v>49</v>
      </c>
      <c r="AP155" s="38" t="s">
        <v>56</v>
      </c>
      <c r="AQ155" s="39" t="s">
        <v>51</v>
      </c>
    </row>
    <row r="156" spans="1:43" ht="20.100000000000001" hidden="1" customHeight="1" x14ac:dyDescent="0.25">
      <c r="A156" s="23">
        <v>574</v>
      </c>
      <c r="B156" s="23"/>
      <c r="AD156" s="10">
        <v>3</v>
      </c>
      <c r="AE156" s="10">
        <v>6</v>
      </c>
      <c r="AF156" s="38" t="s">
        <v>47</v>
      </c>
      <c r="AG156" s="39" t="s">
        <v>52</v>
      </c>
      <c r="AH156" s="38" t="s">
        <v>49</v>
      </c>
      <c r="AI156" s="39" t="s">
        <v>54</v>
      </c>
      <c r="AJ156" s="38" t="s">
        <v>51</v>
      </c>
      <c r="AK156" s="39" t="s">
        <v>56</v>
      </c>
      <c r="AL156" s="38" t="s">
        <v>53</v>
      </c>
      <c r="AM156" s="39" t="s">
        <v>46</v>
      </c>
      <c r="AN156" s="38" t="s">
        <v>55</v>
      </c>
      <c r="AO156" s="39" t="s">
        <v>48</v>
      </c>
      <c r="AP156" s="38" t="s">
        <v>45</v>
      </c>
      <c r="AQ156" s="39" t="s">
        <v>50</v>
      </c>
    </row>
    <row r="157" spans="1:43" ht="20.100000000000001" hidden="1" customHeight="1" x14ac:dyDescent="0.25">
      <c r="A157" s="23">
        <v>593</v>
      </c>
      <c r="B157" s="23"/>
      <c r="AD157" s="10">
        <v>4</v>
      </c>
      <c r="AE157" s="10">
        <v>9</v>
      </c>
      <c r="AF157" s="38" t="s">
        <v>48</v>
      </c>
      <c r="AG157" s="39" t="s">
        <v>51</v>
      </c>
      <c r="AH157" s="38" t="s">
        <v>50</v>
      </c>
      <c r="AI157" s="39" t="s">
        <v>53</v>
      </c>
      <c r="AJ157" s="38" t="s">
        <v>52</v>
      </c>
      <c r="AK157" s="39" t="s">
        <v>55</v>
      </c>
      <c r="AL157" s="38" t="s">
        <v>54</v>
      </c>
      <c r="AM157" s="39" t="s">
        <v>45</v>
      </c>
      <c r="AN157" s="38" t="s">
        <v>56</v>
      </c>
      <c r="AO157" s="39" t="s">
        <v>47</v>
      </c>
      <c r="AP157" s="38" t="s">
        <v>46</v>
      </c>
      <c r="AQ157" s="39" t="s">
        <v>49</v>
      </c>
    </row>
    <row r="158" spans="1:43" ht="20.100000000000001" hidden="1" customHeight="1" x14ac:dyDescent="0.25">
      <c r="A158" s="23">
        <v>605</v>
      </c>
      <c r="B158" s="23"/>
      <c r="AD158" s="10">
        <v>5</v>
      </c>
      <c r="AE158" s="10">
        <v>12</v>
      </c>
      <c r="AF158" s="38" t="s">
        <v>49</v>
      </c>
      <c r="AG158" s="39" t="s">
        <v>50</v>
      </c>
      <c r="AH158" s="38" t="s">
        <v>51</v>
      </c>
      <c r="AI158" s="39" t="s">
        <v>52</v>
      </c>
      <c r="AJ158" s="38" t="s">
        <v>53</v>
      </c>
      <c r="AK158" s="39" t="s">
        <v>54</v>
      </c>
      <c r="AL158" s="38" t="s">
        <v>55</v>
      </c>
      <c r="AM158" s="39" t="s">
        <v>56</v>
      </c>
      <c r="AN158" s="38" t="s">
        <v>45</v>
      </c>
      <c r="AO158" s="39" t="s">
        <v>46</v>
      </c>
      <c r="AP158" s="38" t="s">
        <v>47</v>
      </c>
      <c r="AQ158" s="39" t="s">
        <v>48</v>
      </c>
    </row>
    <row r="159" spans="1:43" ht="20.100000000000001" hidden="1" customHeight="1" x14ac:dyDescent="0.25">
      <c r="A159" s="23">
        <v>612</v>
      </c>
      <c r="B159" s="23"/>
      <c r="AD159" s="10">
        <v>6</v>
      </c>
      <c r="AE159" s="10">
        <v>15</v>
      </c>
      <c r="AF159" s="38" t="s">
        <v>50</v>
      </c>
      <c r="AG159" s="39" t="s">
        <v>49</v>
      </c>
      <c r="AH159" s="38" t="s">
        <v>52</v>
      </c>
      <c r="AI159" s="39" t="s">
        <v>51</v>
      </c>
      <c r="AJ159" s="38" t="s">
        <v>54</v>
      </c>
      <c r="AK159" s="39" t="s">
        <v>53</v>
      </c>
      <c r="AL159" s="38" t="s">
        <v>56</v>
      </c>
      <c r="AM159" s="39" t="s">
        <v>55</v>
      </c>
      <c r="AN159" s="38" t="s">
        <v>46</v>
      </c>
      <c r="AO159" s="39" t="s">
        <v>45</v>
      </c>
      <c r="AP159" s="38" t="s">
        <v>48</v>
      </c>
      <c r="AQ159" s="39" t="s">
        <v>47</v>
      </c>
    </row>
    <row r="160" spans="1:43" ht="20.100000000000001" hidden="1" customHeight="1" x14ac:dyDescent="0.25">
      <c r="A160" s="23">
        <v>613</v>
      </c>
      <c r="B160" s="23"/>
      <c r="AD160" s="10">
        <v>7</v>
      </c>
      <c r="AE160" s="10">
        <v>18</v>
      </c>
      <c r="AF160" s="38" t="s">
        <v>51</v>
      </c>
      <c r="AG160" s="39" t="s">
        <v>48</v>
      </c>
      <c r="AH160" s="38" t="s">
        <v>53</v>
      </c>
      <c r="AI160" s="39" t="s">
        <v>50</v>
      </c>
      <c r="AJ160" s="38" t="s">
        <v>55</v>
      </c>
      <c r="AK160" s="39" t="s">
        <v>52</v>
      </c>
      <c r="AL160" s="38" t="s">
        <v>45</v>
      </c>
      <c r="AM160" s="39" t="s">
        <v>54</v>
      </c>
      <c r="AN160" s="38" t="s">
        <v>47</v>
      </c>
      <c r="AO160" s="39" t="s">
        <v>56</v>
      </c>
      <c r="AP160" s="38" t="s">
        <v>49</v>
      </c>
      <c r="AQ160" s="39" t="s">
        <v>46</v>
      </c>
    </row>
    <row r="161" spans="1:43" ht="20.100000000000001" hidden="1" customHeight="1" x14ac:dyDescent="0.25">
      <c r="A161" s="23">
        <v>614</v>
      </c>
      <c r="B161" s="23"/>
      <c r="AD161" s="10">
        <v>8</v>
      </c>
      <c r="AE161" s="10">
        <v>21</v>
      </c>
      <c r="AF161" s="38" t="s">
        <v>52</v>
      </c>
      <c r="AG161" s="39" t="s">
        <v>47</v>
      </c>
      <c r="AH161" s="38" t="s">
        <v>54</v>
      </c>
      <c r="AI161" s="39" t="s">
        <v>49</v>
      </c>
      <c r="AJ161" s="38" t="s">
        <v>56</v>
      </c>
      <c r="AK161" s="39" t="s">
        <v>51</v>
      </c>
      <c r="AL161" s="38" t="s">
        <v>46</v>
      </c>
      <c r="AM161" s="39" t="s">
        <v>53</v>
      </c>
      <c r="AN161" s="38" t="s">
        <v>48</v>
      </c>
      <c r="AO161" s="39" t="s">
        <v>55</v>
      </c>
      <c r="AP161" s="38" t="s">
        <v>50</v>
      </c>
      <c r="AQ161" s="39" t="s">
        <v>45</v>
      </c>
    </row>
    <row r="162" spans="1:43" ht="20.100000000000001" hidden="1" customHeight="1" x14ac:dyDescent="0.25">
      <c r="A162" s="23">
        <v>615</v>
      </c>
      <c r="B162" s="23"/>
      <c r="AD162" s="10">
        <v>9</v>
      </c>
      <c r="AE162" s="10">
        <v>24</v>
      </c>
      <c r="AF162" s="38" t="s">
        <v>53</v>
      </c>
      <c r="AG162" s="39" t="s">
        <v>46</v>
      </c>
      <c r="AH162" s="38" t="s">
        <v>55</v>
      </c>
      <c r="AI162" s="39" t="s">
        <v>48</v>
      </c>
      <c r="AJ162" s="38" t="s">
        <v>45</v>
      </c>
      <c r="AK162" s="39" t="s">
        <v>50</v>
      </c>
      <c r="AL162" s="38" t="s">
        <v>47</v>
      </c>
      <c r="AM162" s="39" t="s">
        <v>52</v>
      </c>
      <c r="AN162" s="38" t="s">
        <v>49</v>
      </c>
      <c r="AO162" s="39" t="s">
        <v>54</v>
      </c>
      <c r="AP162" s="38" t="s">
        <v>51</v>
      </c>
      <c r="AQ162" s="39" t="s">
        <v>56</v>
      </c>
    </row>
    <row r="163" spans="1:43" ht="20.100000000000001" hidden="1" customHeight="1" x14ac:dyDescent="0.25">
      <c r="A163" s="23">
        <v>616</v>
      </c>
      <c r="B163" s="23"/>
      <c r="AD163" s="10">
        <v>10</v>
      </c>
      <c r="AE163" s="10">
        <v>27</v>
      </c>
      <c r="AF163" s="38" t="s">
        <v>54</v>
      </c>
      <c r="AG163" s="39" t="s">
        <v>45</v>
      </c>
      <c r="AH163" s="38" t="s">
        <v>56</v>
      </c>
      <c r="AI163" s="39" t="s">
        <v>47</v>
      </c>
      <c r="AJ163" s="38" t="s">
        <v>46</v>
      </c>
      <c r="AK163" s="39" t="s">
        <v>49</v>
      </c>
      <c r="AL163" s="38" t="s">
        <v>48</v>
      </c>
      <c r="AM163" s="39" t="s">
        <v>51</v>
      </c>
      <c r="AN163" s="38" t="s">
        <v>50</v>
      </c>
      <c r="AO163" s="39" t="s">
        <v>53</v>
      </c>
      <c r="AP163" s="38" t="s">
        <v>52</v>
      </c>
      <c r="AQ163" s="39" t="s">
        <v>55</v>
      </c>
    </row>
    <row r="164" spans="1:43" ht="20.100000000000001" hidden="1" customHeight="1" x14ac:dyDescent="0.25">
      <c r="A164" s="23">
        <v>624</v>
      </c>
      <c r="B164" s="23"/>
      <c r="AD164" s="10"/>
      <c r="AE164" s="10"/>
      <c r="AF164" s="38"/>
      <c r="AG164" s="39"/>
      <c r="AH164" s="38"/>
      <c r="AI164" s="39"/>
      <c r="AJ164" s="38"/>
      <c r="AK164" s="39"/>
      <c r="AL164" s="38"/>
      <c r="AM164" s="39"/>
      <c r="AN164" s="38"/>
      <c r="AO164" s="39"/>
      <c r="AP164" s="38"/>
      <c r="AQ164" s="39"/>
    </row>
    <row r="165" spans="1:43" ht="20.100000000000001" hidden="1" customHeight="1" x14ac:dyDescent="0.25">
      <c r="A165" s="23">
        <v>625</v>
      </c>
      <c r="B165" s="23"/>
      <c r="AD165" s="10"/>
      <c r="AE165" s="10"/>
      <c r="AG165" s="1"/>
      <c r="AH165" s="1"/>
      <c r="AI165" s="1"/>
      <c r="AJ165" s="1"/>
      <c r="AK165" s="1"/>
      <c r="AL165" s="1"/>
      <c r="AM165" s="1"/>
      <c r="AN165" s="1"/>
      <c r="AO165" s="1"/>
      <c r="AP165" s="40"/>
      <c r="AQ165" s="34"/>
    </row>
    <row r="166" spans="1:43" ht="20.100000000000001" hidden="1" customHeight="1" x14ac:dyDescent="0.25">
      <c r="A166" s="23">
        <v>672</v>
      </c>
      <c r="B166" s="23"/>
      <c r="AD166" s="10"/>
      <c r="AE166" s="10"/>
      <c r="AG166" s="36" t="s">
        <v>58</v>
      </c>
      <c r="AH166" s="1"/>
      <c r="AI166" s="1"/>
      <c r="AJ166" s="1"/>
      <c r="AK166" s="1"/>
      <c r="AL166" s="24"/>
      <c r="AM166" s="24"/>
      <c r="AN166" s="24"/>
      <c r="AO166" s="24"/>
      <c r="AP166" s="30"/>
      <c r="AQ166" s="34"/>
    </row>
    <row r="167" spans="1:43" ht="20.100000000000001" hidden="1" customHeight="1" x14ac:dyDescent="0.25">
      <c r="A167" s="23">
        <v>721</v>
      </c>
      <c r="B167" s="23"/>
      <c r="AD167" s="10" t="s">
        <v>43</v>
      </c>
      <c r="AE167" s="10" t="s">
        <v>44</v>
      </c>
      <c r="AF167" s="37" t="s">
        <v>45</v>
      </c>
      <c r="AG167" s="37" t="s">
        <v>46</v>
      </c>
      <c r="AH167" s="37" t="s">
        <v>47</v>
      </c>
      <c r="AI167" s="37" t="s">
        <v>48</v>
      </c>
      <c r="AJ167" s="37" t="s">
        <v>49</v>
      </c>
      <c r="AK167" s="37" t="s">
        <v>50</v>
      </c>
      <c r="AL167" s="37" t="s">
        <v>51</v>
      </c>
      <c r="AM167" s="37" t="s">
        <v>52</v>
      </c>
      <c r="AN167" s="37" t="s">
        <v>53</v>
      </c>
      <c r="AO167" s="37" t="s">
        <v>54</v>
      </c>
      <c r="AP167" s="37" t="s">
        <v>55</v>
      </c>
      <c r="AQ167" s="37" t="s">
        <v>56</v>
      </c>
    </row>
    <row r="168" spans="1:43" ht="20.100000000000001" hidden="1" customHeight="1" x14ac:dyDescent="0.25">
      <c r="A168" s="23">
        <v>722</v>
      </c>
      <c r="B168" s="23"/>
      <c r="AD168" s="10">
        <v>1</v>
      </c>
      <c r="AE168" s="10">
        <v>0</v>
      </c>
      <c r="AF168" s="38" t="s">
        <v>45</v>
      </c>
      <c r="AG168" s="39" t="s">
        <v>51</v>
      </c>
      <c r="AH168" s="38" t="s">
        <v>47</v>
      </c>
      <c r="AI168" s="39" t="s">
        <v>53</v>
      </c>
      <c r="AJ168" s="38" t="s">
        <v>49</v>
      </c>
      <c r="AK168" s="39" t="s">
        <v>55</v>
      </c>
      <c r="AL168" s="38" t="s">
        <v>51</v>
      </c>
      <c r="AM168" s="39" t="s">
        <v>45</v>
      </c>
      <c r="AN168" s="38" t="s">
        <v>53</v>
      </c>
      <c r="AO168" s="39" t="s">
        <v>47</v>
      </c>
      <c r="AP168" s="38" t="s">
        <v>55</v>
      </c>
      <c r="AQ168" s="39" t="s">
        <v>49</v>
      </c>
    </row>
    <row r="169" spans="1:43" ht="20.100000000000001" hidden="1" customHeight="1" x14ac:dyDescent="0.25">
      <c r="A169" s="23">
        <v>723</v>
      </c>
      <c r="B169" s="23"/>
      <c r="AD169" s="10">
        <v>2</v>
      </c>
      <c r="AE169" s="10">
        <v>3</v>
      </c>
      <c r="AF169" s="38" t="s">
        <v>46</v>
      </c>
      <c r="AG169" s="39" t="s">
        <v>50</v>
      </c>
      <c r="AH169" s="38" t="s">
        <v>48</v>
      </c>
      <c r="AI169" s="39" t="s">
        <v>52</v>
      </c>
      <c r="AJ169" s="38" t="s">
        <v>50</v>
      </c>
      <c r="AK169" s="39" t="s">
        <v>54</v>
      </c>
      <c r="AL169" s="38" t="s">
        <v>52</v>
      </c>
      <c r="AM169" s="39" t="s">
        <v>56</v>
      </c>
      <c r="AN169" s="38" t="s">
        <v>54</v>
      </c>
      <c r="AO169" s="39" t="s">
        <v>46</v>
      </c>
      <c r="AP169" s="38" t="s">
        <v>56</v>
      </c>
      <c r="AQ169" s="39" t="s">
        <v>48</v>
      </c>
    </row>
    <row r="170" spans="1:43" ht="20.100000000000001" hidden="1" customHeight="1" x14ac:dyDescent="0.25">
      <c r="A170" s="23">
        <v>724</v>
      </c>
      <c r="B170" s="23"/>
      <c r="AD170" s="10">
        <v>3</v>
      </c>
      <c r="AE170" s="10">
        <v>6</v>
      </c>
      <c r="AF170" s="38" t="s">
        <v>47</v>
      </c>
      <c r="AG170" s="39" t="s">
        <v>49</v>
      </c>
      <c r="AH170" s="38" t="s">
        <v>49</v>
      </c>
      <c r="AI170" s="39" t="s">
        <v>51</v>
      </c>
      <c r="AJ170" s="38" t="s">
        <v>51</v>
      </c>
      <c r="AK170" s="39" t="s">
        <v>53</v>
      </c>
      <c r="AL170" s="38" t="s">
        <v>53</v>
      </c>
      <c r="AM170" s="39" t="s">
        <v>55</v>
      </c>
      <c r="AN170" s="38" t="s">
        <v>55</v>
      </c>
      <c r="AO170" s="39" t="s">
        <v>45</v>
      </c>
      <c r="AP170" s="38" t="s">
        <v>45</v>
      </c>
      <c r="AQ170" s="39" t="s">
        <v>47</v>
      </c>
    </row>
    <row r="171" spans="1:43" ht="20.100000000000001" hidden="1" customHeight="1" x14ac:dyDescent="0.25">
      <c r="A171" s="23">
        <v>725</v>
      </c>
      <c r="B171" s="23"/>
      <c r="AD171" s="10">
        <v>4</v>
      </c>
      <c r="AE171" s="10">
        <v>9</v>
      </c>
      <c r="AF171" s="38" t="s">
        <v>48</v>
      </c>
      <c r="AG171" s="39" t="s">
        <v>48</v>
      </c>
      <c r="AH171" s="38" t="s">
        <v>50</v>
      </c>
      <c r="AI171" s="39" t="s">
        <v>50</v>
      </c>
      <c r="AJ171" s="38" t="s">
        <v>52</v>
      </c>
      <c r="AK171" s="39" t="s">
        <v>52</v>
      </c>
      <c r="AL171" s="38" t="s">
        <v>54</v>
      </c>
      <c r="AM171" s="39" t="s">
        <v>54</v>
      </c>
      <c r="AN171" s="38" t="s">
        <v>56</v>
      </c>
      <c r="AO171" s="39" t="s">
        <v>56</v>
      </c>
      <c r="AP171" s="38" t="s">
        <v>46</v>
      </c>
      <c r="AQ171" s="39" t="s">
        <v>46</v>
      </c>
    </row>
    <row r="172" spans="1:43" ht="20.100000000000001" hidden="1" customHeight="1" x14ac:dyDescent="0.25">
      <c r="A172" s="23">
        <v>726</v>
      </c>
      <c r="B172" s="23"/>
      <c r="AD172" s="10">
        <v>5</v>
      </c>
      <c r="AE172" s="10">
        <v>12</v>
      </c>
      <c r="AF172" s="38" t="s">
        <v>49</v>
      </c>
      <c r="AG172" s="39" t="s">
        <v>47</v>
      </c>
      <c r="AH172" s="38" t="s">
        <v>51</v>
      </c>
      <c r="AI172" s="39" t="s">
        <v>49</v>
      </c>
      <c r="AJ172" s="38" t="s">
        <v>53</v>
      </c>
      <c r="AK172" s="39" t="s">
        <v>51</v>
      </c>
      <c r="AL172" s="38" t="s">
        <v>55</v>
      </c>
      <c r="AM172" s="39" t="s">
        <v>53</v>
      </c>
      <c r="AN172" s="38" t="s">
        <v>45</v>
      </c>
      <c r="AO172" s="39" t="s">
        <v>55</v>
      </c>
      <c r="AP172" s="38" t="s">
        <v>47</v>
      </c>
      <c r="AQ172" s="39" t="s">
        <v>45</v>
      </c>
    </row>
    <row r="173" spans="1:43" ht="20.100000000000001" hidden="1" customHeight="1" x14ac:dyDescent="0.25">
      <c r="A173" s="23">
        <v>727</v>
      </c>
      <c r="B173" s="23"/>
      <c r="AD173" s="10">
        <v>6</v>
      </c>
      <c r="AE173" s="10">
        <v>15</v>
      </c>
      <c r="AF173" s="38" t="s">
        <v>50</v>
      </c>
      <c r="AG173" s="39" t="s">
        <v>46</v>
      </c>
      <c r="AH173" s="38" t="s">
        <v>52</v>
      </c>
      <c r="AI173" s="39" t="s">
        <v>48</v>
      </c>
      <c r="AJ173" s="38" t="s">
        <v>54</v>
      </c>
      <c r="AK173" s="39" t="s">
        <v>50</v>
      </c>
      <c r="AL173" s="38" t="s">
        <v>56</v>
      </c>
      <c r="AM173" s="39" t="s">
        <v>52</v>
      </c>
      <c r="AN173" s="38" t="s">
        <v>46</v>
      </c>
      <c r="AO173" s="39" t="s">
        <v>54</v>
      </c>
      <c r="AP173" s="38" t="s">
        <v>48</v>
      </c>
      <c r="AQ173" s="39" t="s">
        <v>56</v>
      </c>
    </row>
    <row r="174" spans="1:43" ht="20.100000000000001" hidden="1" customHeight="1" x14ac:dyDescent="0.25">
      <c r="A174" s="23">
        <v>728</v>
      </c>
      <c r="B174" s="23"/>
      <c r="AD174" s="10">
        <v>7</v>
      </c>
      <c r="AE174" s="10">
        <v>18</v>
      </c>
      <c r="AF174" s="38" t="s">
        <v>51</v>
      </c>
      <c r="AG174" s="39" t="s">
        <v>45</v>
      </c>
      <c r="AH174" s="38" t="s">
        <v>53</v>
      </c>
      <c r="AI174" s="39" t="s">
        <v>47</v>
      </c>
      <c r="AJ174" s="38" t="s">
        <v>55</v>
      </c>
      <c r="AK174" s="39" t="s">
        <v>49</v>
      </c>
      <c r="AL174" s="38" t="s">
        <v>45</v>
      </c>
      <c r="AM174" s="39" t="s">
        <v>51</v>
      </c>
      <c r="AN174" s="38" t="s">
        <v>47</v>
      </c>
      <c r="AO174" s="39" t="s">
        <v>53</v>
      </c>
      <c r="AP174" s="38" t="s">
        <v>49</v>
      </c>
      <c r="AQ174" s="39" t="s">
        <v>55</v>
      </c>
    </row>
    <row r="175" spans="1:43" ht="20.100000000000001" hidden="1" customHeight="1" x14ac:dyDescent="0.25">
      <c r="A175" s="23">
        <v>729</v>
      </c>
      <c r="B175" s="23"/>
      <c r="AD175" s="10">
        <v>8</v>
      </c>
      <c r="AE175" s="10">
        <v>21</v>
      </c>
      <c r="AF175" s="38" t="s">
        <v>52</v>
      </c>
      <c r="AG175" s="39" t="s">
        <v>56</v>
      </c>
      <c r="AH175" s="38" t="s">
        <v>54</v>
      </c>
      <c r="AI175" s="39" t="s">
        <v>46</v>
      </c>
      <c r="AJ175" s="38" t="s">
        <v>56</v>
      </c>
      <c r="AK175" s="39" t="s">
        <v>48</v>
      </c>
      <c r="AL175" s="38" t="s">
        <v>46</v>
      </c>
      <c r="AM175" s="39" t="s">
        <v>50</v>
      </c>
      <c r="AN175" s="38" t="s">
        <v>48</v>
      </c>
      <c r="AO175" s="39" t="s">
        <v>52</v>
      </c>
      <c r="AP175" s="38" t="s">
        <v>50</v>
      </c>
      <c r="AQ175" s="39" t="s">
        <v>54</v>
      </c>
    </row>
    <row r="176" spans="1:43" ht="20.100000000000001" hidden="1" customHeight="1" x14ac:dyDescent="0.25">
      <c r="A176" s="23">
        <v>730</v>
      </c>
      <c r="B176" s="23"/>
      <c r="AD176" s="10">
        <v>9</v>
      </c>
      <c r="AE176" s="10">
        <v>24</v>
      </c>
      <c r="AF176" s="38" t="s">
        <v>53</v>
      </c>
      <c r="AG176" s="39" t="s">
        <v>55</v>
      </c>
      <c r="AH176" s="38" t="s">
        <v>55</v>
      </c>
      <c r="AI176" s="39" t="s">
        <v>45</v>
      </c>
      <c r="AJ176" s="38" t="s">
        <v>45</v>
      </c>
      <c r="AK176" s="39" t="s">
        <v>47</v>
      </c>
      <c r="AL176" s="38" t="s">
        <v>47</v>
      </c>
      <c r="AM176" s="39" t="s">
        <v>49</v>
      </c>
      <c r="AN176" s="38" t="s">
        <v>49</v>
      </c>
      <c r="AO176" s="39" t="s">
        <v>51</v>
      </c>
      <c r="AP176" s="38" t="s">
        <v>51</v>
      </c>
      <c r="AQ176" s="39" t="s">
        <v>53</v>
      </c>
    </row>
    <row r="177" spans="1:43" ht="20.100000000000001" hidden="1" customHeight="1" x14ac:dyDescent="0.25">
      <c r="A177" s="23">
        <v>731</v>
      </c>
      <c r="B177" s="23"/>
      <c r="AD177" s="10">
        <v>10</v>
      </c>
      <c r="AE177" s="10">
        <v>27</v>
      </c>
      <c r="AF177" s="38" t="s">
        <v>54</v>
      </c>
      <c r="AG177" s="39" t="s">
        <v>54</v>
      </c>
      <c r="AH177" s="38" t="s">
        <v>56</v>
      </c>
      <c r="AI177" s="39" t="s">
        <v>56</v>
      </c>
      <c r="AJ177" s="38" t="s">
        <v>46</v>
      </c>
      <c r="AK177" s="39" t="s">
        <v>46</v>
      </c>
      <c r="AL177" s="38" t="s">
        <v>48</v>
      </c>
      <c r="AM177" s="39" t="s">
        <v>48</v>
      </c>
      <c r="AN177" s="38" t="s">
        <v>50</v>
      </c>
      <c r="AO177" s="39" t="s">
        <v>50</v>
      </c>
      <c r="AP177" s="38" t="s">
        <v>52</v>
      </c>
      <c r="AQ177" s="39" t="s">
        <v>52</v>
      </c>
    </row>
    <row r="178" spans="1:43" ht="20.100000000000001" hidden="1" customHeight="1" x14ac:dyDescent="0.25">
      <c r="A178" s="23">
        <v>761</v>
      </c>
      <c r="B178" s="23"/>
      <c r="AD178" s="10"/>
      <c r="AE178" s="10"/>
      <c r="AG178" s="1"/>
      <c r="AH178" s="1"/>
      <c r="AI178" s="1"/>
      <c r="AJ178" s="1"/>
      <c r="AK178" s="1"/>
      <c r="AL178" s="1"/>
      <c r="AM178" s="1"/>
      <c r="AN178" s="1"/>
      <c r="AO178" s="1"/>
      <c r="AP178" s="40"/>
      <c r="AQ178" s="34"/>
    </row>
    <row r="179" spans="1:43" ht="20.100000000000001" hidden="1" customHeight="1" x14ac:dyDescent="0.25">
      <c r="A179" s="23">
        <v>762</v>
      </c>
      <c r="B179" s="23"/>
      <c r="AD179" s="10"/>
      <c r="AE179" s="10"/>
      <c r="AG179" s="1"/>
      <c r="AH179" s="1"/>
      <c r="AI179" s="1"/>
      <c r="AJ179" s="1"/>
      <c r="AK179" s="1"/>
      <c r="AL179" s="1"/>
      <c r="AM179" s="1"/>
      <c r="AN179" s="1"/>
      <c r="AO179" s="1"/>
      <c r="AP179" s="40"/>
      <c r="AQ179" s="34"/>
    </row>
    <row r="180" spans="1:43" ht="20.100000000000001" hidden="1" customHeight="1" x14ac:dyDescent="0.25">
      <c r="A180" s="23">
        <v>763</v>
      </c>
      <c r="B180" s="23"/>
      <c r="AD180" s="10"/>
      <c r="AE180" s="10"/>
      <c r="AG180" s="36" t="s">
        <v>59</v>
      </c>
      <c r="AH180" s="1"/>
      <c r="AI180" s="1"/>
      <c r="AJ180" s="1"/>
      <c r="AK180" s="1"/>
      <c r="AL180" s="24"/>
      <c r="AM180" s="24"/>
      <c r="AN180" s="24"/>
      <c r="AO180" s="24"/>
      <c r="AP180" s="30"/>
      <c r="AQ180" s="34"/>
    </row>
    <row r="181" spans="1:43" ht="20.100000000000001" hidden="1" customHeight="1" x14ac:dyDescent="0.25">
      <c r="A181" s="23">
        <v>764</v>
      </c>
      <c r="B181" s="23"/>
      <c r="AD181" s="10" t="s">
        <v>43</v>
      </c>
      <c r="AE181" s="10" t="s">
        <v>44</v>
      </c>
      <c r="AF181" s="37" t="s">
        <v>45</v>
      </c>
      <c r="AG181" s="37" t="s">
        <v>46</v>
      </c>
      <c r="AH181" s="37" t="s">
        <v>47</v>
      </c>
      <c r="AI181" s="37" t="s">
        <v>48</v>
      </c>
      <c r="AJ181" s="37" t="s">
        <v>49</v>
      </c>
      <c r="AK181" s="37" t="s">
        <v>50</v>
      </c>
      <c r="AL181" s="37" t="s">
        <v>51</v>
      </c>
      <c r="AM181" s="37" t="s">
        <v>52</v>
      </c>
      <c r="AN181" s="37" t="s">
        <v>53</v>
      </c>
      <c r="AO181" s="37" t="s">
        <v>54</v>
      </c>
      <c r="AP181" s="37" t="s">
        <v>55</v>
      </c>
      <c r="AQ181" s="37" t="s">
        <v>56</v>
      </c>
    </row>
    <row r="182" spans="1:43" ht="20.100000000000001" hidden="1" customHeight="1" x14ac:dyDescent="0.25">
      <c r="A182" s="23">
        <v>765</v>
      </c>
      <c r="B182" s="23"/>
      <c r="AD182" s="10">
        <v>1</v>
      </c>
      <c r="AE182" s="10">
        <v>0</v>
      </c>
      <c r="AF182" s="38" t="s">
        <v>45</v>
      </c>
      <c r="AG182" s="39" t="s">
        <v>50</v>
      </c>
      <c r="AH182" s="38" t="s">
        <v>47</v>
      </c>
      <c r="AI182" s="39" t="s">
        <v>52</v>
      </c>
      <c r="AJ182" s="38" t="s">
        <v>49</v>
      </c>
      <c r="AK182" s="39" t="s">
        <v>54</v>
      </c>
      <c r="AL182" s="38" t="s">
        <v>51</v>
      </c>
      <c r="AM182" s="39" t="s">
        <v>56</v>
      </c>
      <c r="AN182" s="38" t="s">
        <v>53</v>
      </c>
      <c r="AO182" s="39" t="s">
        <v>46</v>
      </c>
      <c r="AP182" s="38" t="s">
        <v>55</v>
      </c>
      <c r="AQ182" s="39" t="s">
        <v>48</v>
      </c>
    </row>
    <row r="183" spans="1:43" ht="20.100000000000001" hidden="1" customHeight="1" x14ac:dyDescent="0.25">
      <c r="A183" s="23">
        <v>766</v>
      </c>
      <c r="B183" s="23"/>
      <c r="AD183" s="10">
        <v>2</v>
      </c>
      <c r="AE183" s="10">
        <v>3</v>
      </c>
      <c r="AF183" s="38" t="s">
        <v>46</v>
      </c>
      <c r="AG183" s="39" t="s">
        <v>49</v>
      </c>
      <c r="AH183" s="38" t="s">
        <v>48</v>
      </c>
      <c r="AI183" s="39" t="s">
        <v>51</v>
      </c>
      <c r="AJ183" s="38" t="s">
        <v>50</v>
      </c>
      <c r="AK183" s="39" t="s">
        <v>53</v>
      </c>
      <c r="AL183" s="38" t="s">
        <v>52</v>
      </c>
      <c r="AM183" s="39" t="s">
        <v>55</v>
      </c>
      <c r="AN183" s="38" t="s">
        <v>54</v>
      </c>
      <c r="AO183" s="39" t="s">
        <v>45</v>
      </c>
      <c r="AP183" s="38" t="s">
        <v>56</v>
      </c>
      <c r="AQ183" s="39" t="s">
        <v>47</v>
      </c>
    </row>
    <row r="184" spans="1:43" ht="20.100000000000001" hidden="1" customHeight="1" x14ac:dyDescent="0.25">
      <c r="A184" s="23">
        <v>767</v>
      </c>
      <c r="B184" s="23"/>
      <c r="AD184" s="10">
        <v>3</v>
      </c>
      <c r="AE184" s="10">
        <v>6</v>
      </c>
      <c r="AF184" s="38" t="s">
        <v>47</v>
      </c>
      <c r="AG184" s="39" t="s">
        <v>48</v>
      </c>
      <c r="AH184" s="38" t="s">
        <v>49</v>
      </c>
      <c r="AI184" s="39" t="s">
        <v>50</v>
      </c>
      <c r="AJ184" s="38" t="s">
        <v>51</v>
      </c>
      <c r="AK184" s="39" t="s">
        <v>52</v>
      </c>
      <c r="AL184" s="38" t="s">
        <v>53</v>
      </c>
      <c r="AM184" s="39" t="s">
        <v>54</v>
      </c>
      <c r="AN184" s="38" t="s">
        <v>55</v>
      </c>
      <c r="AO184" s="39" t="s">
        <v>56</v>
      </c>
      <c r="AP184" s="38" t="s">
        <v>45</v>
      </c>
      <c r="AQ184" s="39" t="s">
        <v>46</v>
      </c>
    </row>
    <row r="185" spans="1:43" ht="20.100000000000001" hidden="1" customHeight="1" x14ac:dyDescent="0.25">
      <c r="A185" s="23">
        <v>768</v>
      </c>
      <c r="B185" s="23"/>
      <c r="AD185" s="10">
        <v>4</v>
      </c>
      <c r="AE185" s="10">
        <v>9</v>
      </c>
      <c r="AF185" s="38" t="s">
        <v>48</v>
      </c>
      <c r="AG185" s="39" t="s">
        <v>47</v>
      </c>
      <c r="AH185" s="38" t="s">
        <v>50</v>
      </c>
      <c r="AI185" s="39" t="s">
        <v>49</v>
      </c>
      <c r="AJ185" s="38" t="s">
        <v>52</v>
      </c>
      <c r="AK185" s="39" t="s">
        <v>51</v>
      </c>
      <c r="AL185" s="38" t="s">
        <v>54</v>
      </c>
      <c r="AM185" s="39" t="s">
        <v>53</v>
      </c>
      <c r="AN185" s="38" t="s">
        <v>56</v>
      </c>
      <c r="AO185" s="39" t="s">
        <v>55</v>
      </c>
      <c r="AP185" s="38" t="s">
        <v>46</v>
      </c>
      <c r="AQ185" s="39" t="s">
        <v>45</v>
      </c>
    </row>
    <row r="186" spans="1:43" ht="20.100000000000001" hidden="1" customHeight="1" x14ac:dyDescent="0.25">
      <c r="A186" s="23">
        <v>769</v>
      </c>
      <c r="B186" s="23"/>
      <c r="AD186" s="10">
        <v>5</v>
      </c>
      <c r="AE186" s="10">
        <v>12</v>
      </c>
      <c r="AF186" s="38" t="s">
        <v>49</v>
      </c>
      <c r="AG186" s="39" t="s">
        <v>46</v>
      </c>
      <c r="AH186" s="38" t="s">
        <v>51</v>
      </c>
      <c r="AI186" s="39" t="s">
        <v>48</v>
      </c>
      <c r="AJ186" s="38" t="s">
        <v>53</v>
      </c>
      <c r="AK186" s="39" t="s">
        <v>50</v>
      </c>
      <c r="AL186" s="38" t="s">
        <v>55</v>
      </c>
      <c r="AM186" s="39" t="s">
        <v>52</v>
      </c>
      <c r="AN186" s="38" t="s">
        <v>45</v>
      </c>
      <c r="AO186" s="39" t="s">
        <v>54</v>
      </c>
      <c r="AP186" s="38" t="s">
        <v>47</v>
      </c>
      <c r="AQ186" s="39" t="s">
        <v>56</v>
      </c>
    </row>
    <row r="187" spans="1:43" ht="20.100000000000001" hidden="1" customHeight="1" x14ac:dyDescent="0.25">
      <c r="A187" s="23">
        <v>770</v>
      </c>
      <c r="B187" s="23"/>
      <c r="AD187" s="10">
        <v>6</v>
      </c>
      <c r="AE187" s="10">
        <v>15</v>
      </c>
      <c r="AF187" s="38" t="s">
        <v>50</v>
      </c>
      <c r="AG187" s="39" t="s">
        <v>45</v>
      </c>
      <c r="AH187" s="38" t="s">
        <v>52</v>
      </c>
      <c r="AI187" s="39" t="s">
        <v>47</v>
      </c>
      <c r="AJ187" s="38" t="s">
        <v>54</v>
      </c>
      <c r="AK187" s="39" t="s">
        <v>49</v>
      </c>
      <c r="AL187" s="38" t="s">
        <v>56</v>
      </c>
      <c r="AM187" s="39" t="s">
        <v>51</v>
      </c>
      <c r="AN187" s="38" t="s">
        <v>46</v>
      </c>
      <c r="AO187" s="39" t="s">
        <v>53</v>
      </c>
      <c r="AP187" s="38" t="s">
        <v>48</v>
      </c>
      <c r="AQ187" s="39" t="s">
        <v>55</v>
      </c>
    </row>
    <row r="188" spans="1:43" ht="20.100000000000001" hidden="1" customHeight="1" x14ac:dyDescent="0.25">
      <c r="A188" s="23">
        <v>771</v>
      </c>
      <c r="B188" s="23"/>
      <c r="AD188" s="10">
        <v>7</v>
      </c>
      <c r="AE188" s="10">
        <v>18</v>
      </c>
      <c r="AF188" s="38" t="s">
        <v>51</v>
      </c>
      <c r="AG188" s="39" t="s">
        <v>56</v>
      </c>
      <c r="AH188" s="38" t="s">
        <v>53</v>
      </c>
      <c r="AI188" s="39" t="s">
        <v>46</v>
      </c>
      <c r="AJ188" s="38" t="s">
        <v>55</v>
      </c>
      <c r="AK188" s="39" t="s">
        <v>48</v>
      </c>
      <c r="AL188" s="38" t="s">
        <v>45</v>
      </c>
      <c r="AM188" s="39" t="s">
        <v>50</v>
      </c>
      <c r="AN188" s="38" t="s">
        <v>47</v>
      </c>
      <c r="AO188" s="39" t="s">
        <v>52</v>
      </c>
      <c r="AP188" s="38" t="s">
        <v>49</v>
      </c>
      <c r="AQ188" s="39" t="s">
        <v>54</v>
      </c>
    </row>
    <row r="189" spans="1:43" ht="20.100000000000001" hidden="1" customHeight="1" x14ac:dyDescent="0.25">
      <c r="A189" s="23">
        <v>772</v>
      </c>
      <c r="B189" s="23"/>
      <c r="AD189" s="10">
        <v>8</v>
      </c>
      <c r="AE189" s="10">
        <v>21</v>
      </c>
      <c r="AF189" s="38" t="s">
        <v>52</v>
      </c>
      <c r="AG189" s="39" t="s">
        <v>55</v>
      </c>
      <c r="AH189" s="38" t="s">
        <v>54</v>
      </c>
      <c r="AI189" s="39" t="s">
        <v>45</v>
      </c>
      <c r="AJ189" s="38" t="s">
        <v>56</v>
      </c>
      <c r="AK189" s="39" t="s">
        <v>47</v>
      </c>
      <c r="AL189" s="38" t="s">
        <v>46</v>
      </c>
      <c r="AM189" s="39" t="s">
        <v>49</v>
      </c>
      <c r="AN189" s="38" t="s">
        <v>48</v>
      </c>
      <c r="AO189" s="39" t="s">
        <v>51</v>
      </c>
      <c r="AP189" s="38" t="s">
        <v>50</v>
      </c>
      <c r="AQ189" s="39" t="s">
        <v>53</v>
      </c>
    </row>
    <row r="190" spans="1:43" ht="20.100000000000001" hidden="1" customHeight="1" x14ac:dyDescent="0.25">
      <c r="A190" s="23">
        <v>773</v>
      </c>
      <c r="B190" s="23"/>
      <c r="AD190" s="10">
        <v>9</v>
      </c>
      <c r="AE190" s="10">
        <v>24</v>
      </c>
      <c r="AF190" s="38" t="s">
        <v>53</v>
      </c>
      <c r="AG190" s="39" t="s">
        <v>54</v>
      </c>
      <c r="AH190" s="38" t="s">
        <v>55</v>
      </c>
      <c r="AI190" s="39" t="s">
        <v>56</v>
      </c>
      <c r="AJ190" s="38" t="s">
        <v>45</v>
      </c>
      <c r="AK190" s="39" t="s">
        <v>46</v>
      </c>
      <c r="AL190" s="38" t="s">
        <v>47</v>
      </c>
      <c r="AM190" s="39" t="s">
        <v>48</v>
      </c>
      <c r="AN190" s="38" t="s">
        <v>49</v>
      </c>
      <c r="AO190" s="39" t="s">
        <v>50</v>
      </c>
      <c r="AP190" s="38" t="s">
        <v>51</v>
      </c>
      <c r="AQ190" s="39" t="s">
        <v>52</v>
      </c>
    </row>
    <row r="191" spans="1:43" ht="20.100000000000001" hidden="1" customHeight="1" x14ac:dyDescent="0.25">
      <c r="A191" s="23">
        <v>774</v>
      </c>
      <c r="B191" s="23"/>
      <c r="AD191" s="10">
        <v>10</v>
      </c>
      <c r="AE191" s="10">
        <v>27</v>
      </c>
      <c r="AF191" s="38" t="s">
        <v>54</v>
      </c>
      <c r="AG191" s="39" t="s">
        <v>53</v>
      </c>
      <c r="AH191" s="38" t="s">
        <v>56</v>
      </c>
      <c r="AI191" s="39" t="s">
        <v>55</v>
      </c>
      <c r="AJ191" s="38" t="s">
        <v>46</v>
      </c>
      <c r="AK191" s="39" t="s">
        <v>45</v>
      </c>
      <c r="AL191" s="38" t="s">
        <v>48</v>
      </c>
      <c r="AM191" s="39" t="s">
        <v>47</v>
      </c>
      <c r="AN191" s="38" t="s">
        <v>50</v>
      </c>
      <c r="AO191" s="39" t="s">
        <v>49</v>
      </c>
      <c r="AP191" s="38" t="s">
        <v>52</v>
      </c>
      <c r="AQ191" s="39" t="s">
        <v>51</v>
      </c>
    </row>
    <row r="192" spans="1:43" ht="20.100000000000001" hidden="1" customHeight="1" x14ac:dyDescent="0.25">
      <c r="A192" s="23">
        <v>775</v>
      </c>
      <c r="B192" s="23"/>
    </row>
    <row r="193" spans="1:43" ht="20.100000000000001" hidden="1" customHeight="1" x14ac:dyDescent="0.25">
      <c r="A193" s="23">
        <v>776</v>
      </c>
      <c r="B193" s="23"/>
    </row>
    <row r="194" spans="1:43" ht="20.100000000000001" hidden="1" customHeight="1" x14ac:dyDescent="0.25">
      <c r="A194" s="23">
        <v>777</v>
      </c>
      <c r="B194" s="23"/>
    </row>
    <row r="195" spans="1:43" ht="20.100000000000001" hidden="1" customHeight="1" x14ac:dyDescent="0.25">
      <c r="A195" s="23">
        <v>778</v>
      </c>
      <c r="B195" s="23"/>
      <c r="AD195" s="10"/>
      <c r="AE195" s="10"/>
      <c r="AG195" s="36" t="s">
        <v>62</v>
      </c>
      <c r="AH195" s="1"/>
      <c r="AI195" s="1"/>
      <c r="AJ195" s="1"/>
      <c r="AK195" s="1"/>
      <c r="AL195" s="24"/>
      <c r="AM195" s="24"/>
      <c r="AN195" s="24"/>
      <c r="AO195" s="24"/>
      <c r="AP195" s="30"/>
      <c r="AQ195" s="34"/>
    </row>
    <row r="196" spans="1:43" ht="20.100000000000001" hidden="1" customHeight="1" x14ac:dyDescent="0.25">
      <c r="A196" s="23">
        <v>779</v>
      </c>
      <c r="B196" s="23"/>
      <c r="AD196" s="10" t="s">
        <v>43</v>
      </c>
      <c r="AE196" s="10" t="s">
        <v>44</v>
      </c>
      <c r="AF196" s="37" t="s">
        <v>45</v>
      </c>
      <c r="AG196" s="37" t="s">
        <v>46</v>
      </c>
      <c r="AH196" s="37" t="s">
        <v>47</v>
      </c>
      <c r="AI196" s="37" t="s">
        <v>48</v>
      </c>
      <c r="AJ196" s="37" t="s">
        <v>49</v>
      </c>
      <c r="AK196" s="37" t="s">
        <v>50</v>
      </c>
      <c r="AL196" s="37" t="s">
        <v>51</v>
      </c>
      <c r="AM196" s="37" t="s">
        <v>52</v>
      </c>
      <c r="AN196" s="37" t="s">
        <v>53</v>
      </c>
      <c r="AO196" s="37" t="s">
        <v>54</v>
      </c>
      <c r="AP196" s="37" t="s">
        <v>55</v>
      </c>
      <c r="AQ196" s="37" t="s">
        <v>56</v>
      </c>
    </row>
    <row r="197" spans="1:43" ht="20.100000000000001" hidden="1" customHeight="1" x14ac:dyDescent="0.25">
      <c r="A197" s="23">
        <v>780</v>
      </c>
      <c r="B197" s="23"/>
      <c r="AD197" s="10">
        <v>1</v>
      </c>
      <c r="AE197" s="10">
        <v>0</v>
      </c>
      <c r="AF197" s="38" t="s">
        <v>45</v>
      </c>
      <c r="AG197" s="39" t="s">
        <v>55</v>
      </c>
      <c r="AH197" s="38" t="s">
        <v>53</v>
      </c>
      <c r="AI197" s="39" t="s">
        <v>51</v>
      </c>
      <c r="AJ197" s="38" t="s">
        <v>49</v>
      </c>
      <c r="AK197" s="39" t="s">
        <v>47</v>
      </c>
      <c r="AL197" s="38" t="s">
        <v>45</v>
      </c>
      <c r="AM197" s="39" t="s">
        <v>55</v>
      </c>
      <c r="AN197" s="38" t="s">
        <v>53</v>
      </c>
      <c r="AO197" s="39" t="s">
        <v>51</v>
      </c>
      <c r="AP197" s="38" t="s">
        <v>49</v>
      </c>
      <c r="AQ197" s="39" t="s">
        <v>47</v>
      </c>
    </row>
    <row r="198" spans="1:43" ht="20.100000000000001" hidden="1" customHeight="1" x14ac:dyDescent="0.25">
      <c r="A198" s="23">
        <v>781</v>
      </c>
      <c r="B198" s="23"/>
      <c r="AD198" s="10">
        <v>2</v>
      </c>
      <c r="AE198" s="10">
        <v>3</v>
      </c>
      <c r="AF198" s="38" t="s">
        <v>46</v>
      </c>
      <c r="AG198" s="39" t="s">
        <v>56</v>
      </c>
      <c r="AH198" s="38" t="s">
        <v>54</v>
      </c>
      <c r="AI198" s="39" t="s">
        <v>52</v>
      </c>
      <c r="AJ198" s="38" t="s">
        <v>50</v>
      </c>
      <c r="AK198" s="39" t="s">
        <v>48</v>
      </c>
      <c r="AL198" s="38" t="s">
        <v>46</v>
      </c>
      <c r="AM198" s="39" t="s">
        <v>56</v>
      </c>
      <c r="AN198" s="38" t="s">
        <v>54</v>
      </c>
      <c r="AO198" s="39" t="s">
        <v>52</v>
      </c>
      <c r="AP198" s="38" t="s">
        <v>50</v>
      </c>
      <c r="AQ198" s="39" t="s">
        <v>48</v>
      </c>
    </row>
    <row r="199" spans="1:43" ht="20.100000000000001" hidden="1" customHeight="1" x14ac:dyDescent="0.25">
      <c r="A199" s="23">
        <v>782</v>
      </c>
      <c r="B199" s="23"/>
      <c r="AD199" s="10">
        <v>3</v>
      </c>
      <c r="AE199" s="10">
        <v>6</v>
      </c>
      <c r="AF199" s="38" t="s">
        <v>47</v>
      </c>
      <c r="AG199" s="39" t="s">
        <v>45</v>
      </c>
      <c r="AH199" s="38" t="s">
        <v>55</v>
      </c>
      <c r="AI199" s="39" t="s">
        <v>53</v>
      </c>
      <c r="AJ199" s="38" t="s">
        <v>51</v>
      </c>
      <c r="AK199" s="39" t="s">
        <v>49</v>
      </c>
      <c r="AL199" s="38" t="s">
        <v>47</v>
      </c>
      <c r="AM199" s="39" t="s">
        <v>45</v>
      </c>
      <c r="AN199" s="38" t="s">
        <v>55</v>
      </c>
      <c r="AO199" s="39" t="s">
        <v>53</v>
      </c>
      <c r="AP199" s="38" t="s">
        <v>51</v>
      </c>
      <c r="AQ199" s="39" t="s">
        <v>49</v>
      </c>
    </row>
    <row r="200" spans="1:43" ht="20.100000000000001" hidden="1" customHeight="1" x14ac:dyDescent="0.25">
      <c r="A200" s="23">
        <v>783</v>
      </c>
      <c r="B200" s="23"/>
      <c r="AD200" s="10">
        <v>4</v>
      </c>
      <c r="AE200" s="10">
        <v>9</v>
      </c>
      <c r="AF200" s="38" t="s">
        <v>48</v>
      </c>
      <c r="AG200" s="39" t="s">
        <v>46</v>
      </c>
      <c r="AH200" s="38" t="s">
        <v>56</v>
      </c>
      <c r="AI200" s="39" t="s">
        <v>54</v>
      </c>
      <c r="AJ200" s="38" t="s">
        <v>52</v>
      </c>
      <c r="AK200" s="39" t="s">
        <v>50</v>
      </c>
      <c r="AL200" s="38" t="s">
        <v>48</v>
      </c>
      <c r="AM200" s="39" t="s">
        <v>46</v>
      </c>
      <c r="AN200" s="38" t="s">
        <v>56</v>
      </c>
      <c r="AO200" s="39" t="s">
        <v>54</v>
      </c>
      <c r="AP200" s="38" t="s">
        <v>52</v>
      </c>
      <c r="AQ200" s="39" t="s">
        <v>50</v>
      </c>
    </row>
    <row r="201" spans="1:43" ht="20.100000000000001" hidden="1" customHeight="1" x14ac:dyDescent="0.25">
      <c r="A201" s="23">
        <v>784</v>
      </c>
      <c r="B201" s="23"/>
      <c r="AD201" s="10">
        <v>5</v>
      </c>
      <c r="AE201" s="10">
        <v>12</v>
      </c>
      <c r="AF201" s="38" t="s">
        <v>49</v>
      </c>
      <c r="AG201" s="39" t="s">
        <v>47</v>
      </c>
      <c r="AH201" s="38" t="s">
        <v>45</v>
      </c>
      <c r="AI201" s="39" t="s">
        <v>55</v>
      </c>
      <c r="AJ201" s="38" t="s">
        <v>53</v>
      </c>
      <c r="AK201" s="39" t="s">
        <v>51</v>
      </c>
      <c r="AL201" s="38" t="s">
        <v>49</v>
      </c>
      <c r="AM201" s="39" t="s">
        <v>47</v>
      </c>
      <c r="AN201" s="38" t="s">
        <v>45</v>
      </c>
      <c r="AO201" s="39" t="s">
        <v>55</v>
      </c>
      <c r="AP201" s="38" t="s">
        <v>53</v>
      </c>
      <c r="AQ201" s="39" t="s">
        <v>51</v>
      </c>
    </row>
    <row r="202" spans="1:43" ht="20.100000000000001" hidden="1" customHeight="1" x14ac:dyDescent="0.25">
      <c r="A202" s="23">
        <v>785</v>
      </c>
      <c r="B202" s="23"/>
      <c r="AD202" s="10">
        <v>6</v>
      </c>
      <c r="AE202" s="10">
        <v>15</v>
      </c>
      <c r="AF202" s="38" t="s">
        <v>50</v>
      </c>
      <c r="AG202" s="39" t="s">
        <v>48</v>
      </c>
      <c r="AH202" s="38" t="s">
        <v>46</v>
      </c>
      <c r="AI202" s="39" t="s">
        <v>56</v>
      </c>
      <c r="AJ202" s="38" t="s">
        <v>54</v>
      </c>
      <c r="AK202" s="39" t="s">
        <v>52</v>
      </c>
      <c r="AL202" s="38" t="s">
        <v>50</v>
      </c>
      <c r="AM202" s="39" t="s">
        <v>48</v>
      </c>
      <c r="AN202" s="38" t="s">
        <v>46</v>
      </c>
      <c r="AO202" s="39" t="s">
        <v>56</v>
      </c>
      <c r="AP202" s="38" t="s">
        <v>54</v>
      </c>
      <c r="AQ202" s="39" t="s">
        <v>52</v>
      </c>
    </row>
    <row r="203" spans="1:43" ht="20.100000000000001" hidden="1" customHeight="1" x14ac:dyDescent="0.25">
      <c r="A203" s="23">
        <v>786</v>
      </c>
      <c r="B203" s="23"/>
      <c r="AD203" s="10">
        <v>7</v>
      </c>
      <c r="AE203" s="10">
        <v>18</v>
      </c>
      <c r="AF203" s="38" t="s">
        <v>51</v>
      </c>
      <c r="AG203" s="39" t="s">
        <v>49</v>
      </c>
      <c r="AH203" s="38" t="s">
        <v>47</v>
      </c>
      <c r="AI203" s="39" t="s">
        <v>45</v>
      </c>
      <c r="AJ203" s="38" t="s">
        <v>55</v>
      </c>
      <c r="AK203" s="39" t="s">
        <v>53</v>
      </c>
      <c r="AL203" s="38" t="s">
        <v>51</v>
      </c>
      <c r="AM203" s="39" t="s">
        <v>49</v>
      </c>
      <c r="AN203" s="38" t="s">
        <v>47</v>
      </c>
      <c r="AO203" s="39" t="s">
        <v>45</v>
      </c>
      <c r="AP203" s="38" t="s">
        <v>55</v>
      </c>
      <c r="AQ203" s="39" t="s">
        <v>53</v>
      </c>
    </row>
    <row r="204" spans="1:43" ht="20.100000000000001" hidden="1" customHeight="1" x14ac:dyDescent="0.25">
      <c r="A204" s="23">
        <v>787</v>
      </c>
      <c r="B204" s="23"/>
      <c r="AD204" s="10">
        <v>8</v>
      </c>
      <c r="AE204" s="10">
        <v>21</v>
      </c>
      <c r="AF204" s="38" t="s">
        <v>52</v>
      </c>
      <c r="AG204" s="39" t="s">
        <v>50</v>
      </c>
      <c r="AH204" s="38" t="s">
        <v>48</v>
      </c>
      <c r="AI204" s="39" t="s">
        <v>46</v>
      </c>
      <c r="AJ204" s="38" t="s">
        <v>56</v>
      </c>
      <c r="AK204" s="39" t="s">
        <v>54</v>
      </c>
      <c r="AL204" s="38" t="s">
        <v>52</v>
      </c>
      <c r="AM204" s="39" t="s">
        <v>50</v>
      </c>
      <c r="AN204" s="38" t="s">
        <v>48</v>
      </c>
      <c r="AO204" s="39" t="s">
        <v>46</v>
      </c>
      <c r="AP204" s="38" t="s">
        <v>56</v>
      </c>
      <c r="AQ204" s="39" t="s">
        <v>54</v>
      </c>
    </row>
    <row r="205" spans="1:43" ht="20.100000000000001" hidden="1" customHeight="1" x14ac:dyDescent="0.25">
      <c r="A205" s="23">
        <v>788</v>
      </c>
      <c r="B205" s="23"/>
      <c r="AD205" s="10">
        <v>9</v>
      </c>
      <c r="AE205" s="10">
        <v>24</v>
      </c>
      <c r="AF205" s="38" t="s">
        <v>53</v>
      </c>
      <c r="AG205" s="39" t="s">
        <v>51</v>
      </c>
      <c r="AH205" s="38" t="s">
        <v>49</v>
      </c>
      <c r="AI205" s="39" t="s">
        <v>47</v>
      </c>
      <c r="AJ205" s="38" t="s">
        <v>45</v>
      </c>
      <c r="AK205" s="39" t="s">
        <v>55</v>
      </c>
      <c r="AL205" s="38" t="s">
        <v>53</v>
      </c>
      <c r="AM205" s="39" t="s">
        <v>51</v>
      </c>
      <c r="AN205" s="38" t="s">
        <v>49</v>
      </c>
      <c r="AO205" s="39" t="s">
        <v>47</v>
      </c>
      <c r="AP205" s="38" t="s">
        <v>45</v>
      </c>
      <c r="AQ205" s="39" t="s">
        <v>55</v>
      </c>
    </row>
    <row r="206" spans="1:43" ht="20.100000000000001" hidden="1" customHeight="1" x14ac:dyDescent="0.25">
      <c r="A206" s="23">
        <v>789</v>
      </c>
      <c r="B206" s="23"/>
      <c r="AD206" s="10">
        <v>10</v>
      </c>
      <c r="AE206" s="10">
        <v>27</v>
      </c>
      <c r="AF206" s="38" t="s">
        <v>54</v>
      </c>
      <c r="AG206" s="39" t="s">
        <v>52</v>
      </c>
      <c r="AH206" s="38" t="s">
        <v>50</v>
      </c>
      <c r="AI206" s="39" t="s">
        <v>48</v>
      </c>
      <c r="AJ206" s="38" t="s">
        <v>46</v>
      </c>
      <c r="AK206" s="39" t="s">
        <v>56</v>
      </c>
      <c r="AL206" s="38" t="s">
        <v>54</v>
      </c>
      <c r="AM206" s="39" t="s">
        <v>52</v>
      </c>
      <c r="AN206" s="38" t="s">
        <v>50</v>
      </c>
      <c r="AO206" s="39" t="s">
        <v>48</v>
      </c>
      <c r="AP206" s="38" t="s">
        <v>46</v>
      </c>
      <c r="AQ206" s="39" t="s">
        <v>56</v>
      </c>
    </row>
    <row r="207" spans="1:43" ht="20.100000000000001" hidden="1" customHeight="1" x14ac:dyDescent="0.25">
      <c r="A207" s="23">
        <v>790</v>
      </c>
      <c r="B207" s="23"/>
      <c r="AG207" s="30"/>
      <c r="AH207" s="30"/>
      <c r="AI207" s="67"/>
      <c r="AJ207" s="30"/>
      <c r="AK207" s="30"/>
    </row>
    <row r="208" spans="1:43" ht="20.100000000000001" hidden="1" customHeight="1" x14ac:dyDescent="0.25">
      <c r="A208" s="23">
        <v>791</v>
      </c>
      <c r="B208" s="23"/>
      <c r="AG208" s="30"/>
      <c r="AH208" s="30"/>
      <c r="AI208" s="67"/>
      <c r="AJ208" s="30"/>
      <c r="AK208" s="30"/>
    </row>
    <row r="209" spans="1:37" ht="20.100000000000001" hidden="1" customHeight="1" x14ac:dyDescent="0.25">
      <c r="A209" s="23">
        <v>792</v>
      </c>
      <c r="B209" s="23"/>
      <c r="AG209" s="30"/>
      <c r="AH209" s="30"/>
      <c r="AI209" s="30"/>
      <c r="AJ209" s="30"/>
      <c r="AK209" s="30"/>
    </row>
    <row r="210" spans="1:37" ht="20.100000000000001" hidden="1" customHeight="1" x14ac:dyDescent="0.25">
      <c r="A210" s="23">
        <v>793</v>
      </c>
      <c r="B210" s="23"/>
    </row>
    <row r="211" spans="1:37" ht="20.100000000000001" hidden="1" customHeight="1" x14ac:dyDescent="0.25">
      <c r="A211" s="23">
        <v>794</v>
      </c>
      <c r="B211" s="23"/>
    </row>
    <row r="212" spans="1:37" ht="20.100000000000001" hidden="1" customHeight="1" x14ac:dyDescent="0.25">
      <c r="A212" s="23">
        <v>795</v>
      </c>
      <c r="B212" s="23"/>
    </row>
    <row r="213" spans="1:37" ht="20.100000000000001" hidden="1" customHeight="1" x14ac:dyDescent="0.25">
      <c r="A213" s="23">
        <v>796</v>
      </c>
      <c r="B213" s="23"/>
    </row>
    <row r="214" spans="1:37" ht="20.100000000000001" hidden="1" customHeight="1" x14ac:dyDescent="0.25">
      <c r="A214" s="23">
        <v>797</v>
      </c>
      <c r="B214" s="23"/>
    </row>
    <row r="215" spans="1:37" ht="20.100000000000001" hidden="1" customHeight="1" x14ac:dyDescent="0.25">
      <c r="A215" s="23">
        <v>798</v>
      </c>
      <c r="B215" s="23"/>
    </row>
    <row r="216" spans="1:37" ht="20.100000000000001" hidden="1" customHeight="1" x14ac:dyDescent="0.25">
      <c r="A216" s="23">
        <v>799</v>
      </c>
      <c r="B216" s="23"/>
    </row>
    <row r="217" spans="1:37" ht="20.100000000000001" hidden="1" customHeight="1" x14ac:dyDescent="0.25">
      <c r="A217" s="23"/>
      <c r="B217" s="23"/>
    </row>
    <row r="218" spans="1:37" ht="20.100000000000001" hidden="1" customHeight="1" x14ac:dyDescent="0.25">
      <c r="A218" s="23"/>
      <c r="B218" s="23"/>
    </row>
    <row r="219" spans="1:37" ht="20.100000000000001" hidden="1" customHeight="1" x14ac:dyDescent="0.25">
      <c r="A219" s="23"/>
      <c r="B219" s="23"/>
    </row>
    <row r="220" spans="1:37" ht="20.100000000000001" hidden="1" customHeight="1" x14ac:dyDescent="0.25">
      <c r="A220" s="23"/>
      <c r="B220" s="23"/>
    </row>
    <row r="221" spans="1:37" ht="20.100000000000001" hidden="1" customHeight="1" x14ac:dyDescent="0.25">
      <c r="A221" s="23"/>
      <c r="B221" s="23"/>
    </row>
    <row r="222" spans="1:37" ht="20.100000000000001" customHeight="1" x14ac:dyDescent="0.25">
      <c r="B222" s="23"/>
    </row>
    <row r="223" spans="1:37" ht="20.100000000000001" customHeight="1" x14ac:dyDescent="0.25">
      <c r="B223" s="23"/>
    </row>
  </sheetData>
  <mergeCells count="68">
    <mergeCell ref="M41:N41"/>
    <mergeCell ref="D40:I40"/>
    <mergeCell ref="Q42:Q45"/>
    <mergeCell ref="D67:F69"/>
    <mergeCell ref="M42:M71"/>
    <mergeCell ref="O41:P41"/>
    <mergeCell ref="O42:O71"/>
    <mergeCell ref="O40:R40"/>
    <mergeCell ref="L72:M72"/>
    <mergeCell ref="D48:F48"/>
    <mergeCell ref="D49:F49"/>
    <mergeCell ref="D50:F50"/>
    <mergeCell ref="D51:F51"/>
    <mergeCell ref="D52:F52"/>
    <mergeCell ref="D53:F53"/>
    <mergeCell ref="D57:F57"/>
    <mergeCell ref="D58:F58"/>
    <mergeCell ref="D59:F59"/>
    <mergeCell ref="D60:F60"/>
    <mergeCell ref="D65:F65"/>
    <mergeCell ref="D66:F66"/>
    <mergeCell ref="D70:F70"/>
    <mergeCell ref="A46:A47"/>
    <mergeCell ref="A59:A60"/>
    <mergeCell ref="L42:L45"/>
    <mergeCell ref="L46:L58"/>
    <mergeCell ref="L59:L71"/>
    <mergeCell ref="A42:A45"/>
    <mergeCell ref="H42:H45"/>
    <mergeCell ref="A48:A50"/>
    <mergeCell ref="A61:A63"/>
    <mergeCell ref="A64:A70"/>
    <mergeCell ref="A51:A57"/>
    <mergeCell ref="D54:F56"/>
    <mergeCell ref="D63:F63"/>
    <mergeCell ref="D64:F64"/>
    <mergeCell ref="U17:V18"/>
    <mergeCell ref="D44:F44"/>
    <mergeCell ref="E31:F31"/>
    <mergeCell ref="J24:J27"/>
    <mergeCell ref="K24:K27"/>
    <mergeCell ref="K32:K35"/>
    <mergeCell ref="S24:S27"/>
    <mergeCell ref="S32:S35"/>
    <mergeCell ref="M40:N40"/>
    <mergeCell ref="N17:O18"/>
    <mergeCell ref="N24:N28"/>
    <mergeCell ref="Q33:Q35"/>
    <mergeCell ref="P36:P38"/>
    <mergeCell ref="L22:L24"/>
    <mergeCell ref="V24:V28"/>
    <mergeCell ref="D41:G41"/>
    <mergeCell ref="B117:C117"/>
    <mergeCell ref="E117:F117"/>
    <mergeCell ref="D118:D119"/>
    <mergeCell ref="J32:J35"/>
    <mergeCell ref="B40:C40"/>
    <mergeCell ref="D43:F43"/>
    <mergeCell ref="D115:D116"/>
    <mergeCell ref="D46:F46"/>
    <mergeCell ref="D47:F47"/>
    <mergeCell ref="D45:F45"/>
    <mergeCell ref="D42:F42"/>
    <mergeCell ref="D71:F71"/>
    <mergeCell ref="A72:B72"/>
    <mergeCell ref="F93:J93"/>
    <mergeCell ref="D61:F61"/>
    <mergeCell ref="D62:F62"/>
  </mergeCells>
  <conditionalFormatting sqref="AH178:AM179 AH165:AM165 AI140:AI147 AH150:AM151 AI149:AN149 AK146:AK147 AI148:AL148 AN148">
    <cfRule type="iconSet" priority="167">
      <iconSet>
        <cfvo type="percent" val="0"/>
        <cfvo type="percent" val="33"/>
        <cfvo type="percent" val="67"/>
      </iconSet>
    </cfRule>
  </conditionalFormatting>
  <conditionalFormatting sqref="AQ178:AQ179 AQ151 AQ20:AQ39 AS46:AS48 AT42:AT45 AQ73:AQ138 AP49:AP72 AU40 AV41">
    <cfRule type="containsText" dxfId="62" priority="166" operator="containsText" text="Ajna">
      <formula>NOT(ISERROR(SEARCH("Ajna",AP20)))</formula>
    </cfRule>
  </conditionalFormatting>
  <conditionalFormatting sqref="AQ150">
    <cfRule type="containsText" dxfId="61" priority="165" operator="containsText" text="Ajna">
      <formula>NOT(ISERROR(SEARCH("Ajna",AQ150)))</formula>
    </cfRule>
  </conditionalFormatting>
  <conditionalFormatting sqref="AQ165">
    <cfRule type="containsText" dxfId="60" priority="164" operator="containsText" text="Ajna">
      <formula>NOT(ISERROR(SEARCH("Ajna",AQ165)))</formula>
    </cfRule>
  </conditionalFormatting>
  <conditionalFormatting sqref="AL146:AL147">
    <cfRule type="iconSet" priority="163">
      <iconSet>
        <cfvo type="percent" val="0"/>
        <cfvo type="percent" val="33"/>
        <cfvo type="percent" val="67"/>
      </iconSet>
    </cfRule>
  </conditionalFormatting>
  <conditionalFormatting sqref="AN146:AN147">
    <cfRule type="iconSet" priority="162">
      <iconSet>
        <cfvo type="percent" val="0"/>
        <cfvo type="percent" val="33"/>
        <cfvo type="percent" val="67"/>
      </iconSet>
    </cfRule>
  </conditionalFormatting>
  <conditionalFormatting sqref="AN144:AN145">
    <cfRule type="iconSet" priority="161">
      <iconSet>
        <cfvo type="percent" val="0"/>
        <cfvo type="percent" val="33"/>
        <cfvo type="percent" val="67"/>
      </iconSet>
    </cfRule>
  </conditionalFormatting>
  <conditionalFormatting sqref="AP146:AP147">
    <cfRule type="iconSet" priority="160">
      <iconSet>
        <cfvo type="percent" val="0"/>
        <cfvo type="percent" val="33"/>
        <cfvo type="percent" val="67"/>
      </iconSet>
    </cfRule>
  </conditionalFormatting>
  <conditionalFormatting sqref="AP144:AP145">
    <cfRule type="iconSet" priority="159">
      <iconSet>
        <cfvo type="percent" val="0"/>
        <cfvo type="percent" val="33"/>
        <cfvo type="percent" val="67"/>
      </iconSet>
    </cfRule>
  </conditionalFormatting>
  <conditionalFormatting sqref="AP142:AP143">
    <cfRule type="iconSet" priority="158">
      <iconSet>
        <cfvo type="percent" val="0"/>
        <cfvo type="percent" val="33"/>
        <cfvo type="percent" val="67"/>
      </iconSet>
    </cfRule>
  </conditionalFormatting>
  <conditionalFormatting sqref="AQ147:AQ148">
    <cfRule type="iconSet" priority="157">
      <iconSet>
        <cfvo type="percent" val="0"/>
        <cfvo type="percent" val="33"/>
        <cfvo type="percent" val="67"/>
      </iconSet>
    </cfRule>
  </conditionalFormatting>
  <conditionalFormatting sqref="AQ145:AQ146">
    <cfRule type="iconSet" priority="156">
      <iconSet>
        <cfvo type="percent" val="0"/>
        <cfvo type="percent" val="33"/>
        <cfvo type="percent" val="67"/>
      </iconSet>
    </cfRule>
  </conditionalFormatting>
  <conditionalFormatting sqref="AQ149">
    <cfRule type="iconSet" priority="155">
      <iconSet>
        <cfvo type="percent" val="0"/>
        <cfvo type="percent" val="33"/>
        <cfvo type="percent" val="67"/>
      </iconSet>
    </cfRule>
  </conditionalFormatting>
  <conditionalFormatting sqref="AI154:AI161 AI163:AN164 AK160:AK161 AI162:AL162 AN162">
    <cfRule type="iconSet" priority="154">
      <iconSet>
        <cfvo type="percent" val="0"/>
        <cfvo type="percent" val="33"/>
        <cfvo type="percent" val="67"/>
      </iconSet>
    </cfRule>
  </conditionalFormatting>
  <conditionalFormatting sqref="AQ152">
    <cfRule type="containsText" dxfId="59" priority="153" operator="containsText" text="Ajna">
      <formula>NOT(ISERROR(SEARCH("Ajna",AQ152)))</formula>
    </cfRule>
  </conditionalFormatting>
  <conditionalFormatting sqref="AL160:AL161">
    <cfRule type="iconSet" priority="152">
      <iconSet>
        <cfvo type="percent" val="0"/>
        <cfvo type="percent" val="33"/>
        <cfvo type="percent" val="67"/>
      </iconSet>
    </cfRule>
  </conditionalFormatting>
  <conditionalFormatting sqref="AN160:AN161">
    <cfRule type="iconSet" priority="151">
      <iconSet>
        <cfvo type="percent" val="0"/>
        <cfvo type="percent" val="33"/>
        <cfvo type="percent" val="67"/>
      </iconSet>
    </cfRule>
  </conditionalFormatting>
  <conditionalFormatting sqref="AN158:AN159">
    <cfRule type="iconSet" priority="150">
      <iconSet>
        <cfvo type="percent" val="0"/>
        <cfvo type="percent" val="33"/>
        <cfvo type="percent" val="67"/>
      </iconSet>
    </cfRule>
  </conditionalFormatting>
  <conditionalFormatting sqref="AP160:AP161">
    <cfRule type="iconSet" priority="149">
      <iconSet>
        <cfvo type="percent" val="0"/>
        <cfvo type="percent" val="33"/>
        <cfvo type="percent" val="67"/>
      </iconSet>
    </cfRule>
  </conditionalFormatting>
  <conditionalFormatting sqref="AP158:AP159">
    <cfRule type="iconSet" priority="148">
      <iconSet>
        <cfvo type="percent" val="0"/>
        <cfvo type="percent" val="33"/>
        <cfvo type="percent" val="67"/>
      </iconSet>
    </cfRule>
  </conditionalFormatting>
  <conditionalFormatting sqref="AP156:AP157">
    <cfRule type="iconSet" priority="147">
      <iconSet>
        <cfvo type="percent" val="0"/>
        <cfvo type="percent" val="33"/>
        <cfvo type="percent" val="67"/>
      </iconSet>
    </cfRule>
  </conditionalFormatting>
  <conditionalFormatting sqref="AQ161:AQ162">
    <cfRule type="iconSet" priority="146">
      <iconSet>
        <cfvo type="percent" val="0"/>
        <cfvo type="percent" val="33"/>
        <cfvo type="percent" val="67"/>
      </iconSet>
    </cfRule>
  </conditionalFormatting>
  <conditionalFormatting sqref="AQ159:AQ160">
    <cfRule type="iconSet" priority="145">
      <iconSet>
        <cfvo type="percent" val="0"/>
        <cfvo type="percent" val="33"/>
        <cfvo type="percent" val="67"/>
      </iconSet>
    </cfRule>
  </conditionalFormatting>
  <conditionalFormatting sqref="AQ163:AQ164">
    <cfRule type="iconSet" priority="144">
      <iconSet>
        <cfvo type="percent" val="0"/>
        <cfvo type="percent" val="33"/>
        <cfvo type="percent" val="67"/>
      </iconSet>
    </cfRule>
  </conditionalFormatting>
  <conditionalFormatting sqref="AI168:AI175 AI177:AN177 AK174:AK175 AI176:AL176 AN176">
    <cfRule type="iconSet" priority="143">
      <iconSet>
        <cfvo type="percent" val="0"/>
        <cfvo type="percent" val="33"/>
        <cfvo type="percent" val="67"/>
      </iconSet>
    </cfRule>
  </conditionalFormatting>
  <conditionalFormatting sqref="AQ166">
    <cfRule type="containsText" dxfId="58" priority="142" operator="containsText" text="Ajna">
      <formula>NOT(ISERROR(SEARCH("Ajna",AQ166)))</formula>
    </cfRule>
  </conditionalFormatting>
  <conditionalFormatting sqref="AL174:AL175">
    <cfRule type="iconSet" priority="141">
      <iconSet>
        <cfvo type="percent" val="0"/>
        <cfvo type="percent" val="33"/>
        <cfvo type="percent" val="67"/>
      </iconSet>
    </cfRule>
  </conditionalFormatting>
  <conditionalFormatting sqref="AN174:AN175">
    <cfRule type="iconSet" priority="140">
      <iconSet>
        <cfvo type="percent" val="0"/>
        <cfvo type="percent" val="33"/>
        <cfvo type="percent" val="67"/>
      </iconSet>
    </cfRule>
  </conditionalFormatting>
  <conditionalFormatting sqref="AN172:AN173">
    <cfRule type="iconSet" priority="139">
      <iconSet>
        <cfvo type="percent" val="0"/>
        <cfvo type="percent" val="33"/>
        <cfvo type="percent" val="67"/>
      </iconSet>
    </cfRule>
  </conditionalFormatting>
  <conditionalFormatting sqref="AP174:AP175">
    <cfRule type="iconSet" priority="138">
      <iconSet>
        <cfvo type="percent" val="0"/>
        <cfvo type="percent" val="33"/>
        <cfvo type="percent" val="67"/>
      </iconSet>
    </cfRule>
  </conditionalFormatting>
  <conditionalFormatting sqref="AP172:AP173">
    <cfRule type="iconSet" priority="137">
      <iconSet>
        <cfvo type="percent" val="0"/>
        <cfvo type="percent" val="33"/>
        <cfvo type="percent" val="67"/>
      </iconSet>
    </cfRule>
  </conditionalFormatting>
  <conditionalFormatting sqref="AP170:AP171">
    <cfRule type="iconSet" priority="136">
      <iconSet>
        <cfvo type="percent" val="0"/>
        <cfvo type="percent" val="33"/>
        <cfvo type="percent" val="67"/>
      </iconSet>
    </cfRule>
  </conditionalFormatting>
  <conditionalFormatting sqref="AQ176">
    <cfRule type="iconSet" priority="135">
      <iconSet>
        <cfvo type="percent" val="0"/>
        <cfvo type="percent" val="33"/>
        <cfvo type="percent" val="67"/>
      </iconSet>
    </cfRule>
  </conditionalFormatting>
  <conditionalFormatting sqref="AQ177">
    <cfRule type="iconSet" priority="134">
      <iconSet>
        <cfvo type="percent" val="0"/>
        <cfvo type="percent" val="33"/>
        <cfvo type="percent" val="67"/>
      </iconSet>
    </cfRule>
  </conditionalFormatting>
  <conditionalFormatting sqref="AI182:AI189 AI191:AN191 AK188:AK189 AI190:AL190 AN190">
    <cfRule type="iconSet" priority="133">
      <iconSet>
        <cfvo type="percent" val="0"/>
        <cfvo type="percent" val="33"/>
        <cfvo type="percent" val="67"/>
      </iconSet>
    </cfRule>
  </conditionalFormatting>
  <conditionalFormatting sqref="AQ180">
    <cfRule type="containsText" dxfId="57" priority="132" operator="containsText" text="Ajna">
      <formula>NOT(ISERROR(SEARCH("Ajna",AQ180)))</formula>
    </cfRule>
  </conditionalFormatting>
  <conditionalFormatting sqref="AL188:AL189">
    <cfRule type="iconSet" priority="131">
      <iconSet>
        <cfvo type="percent" val="0"/>
        <cfvo type="percent" val="33"/>
        <cfvo type="percent" val="67"/>
      </iconSet>
    </cfRule>
  </conditionalFormatting>
  <conditionalFormatting sqref="AN188:AN189">
    <cfRule type="iconSet" priority="130">
      <iconSet>
        <cfvo type="percent" val="0"/>
        <cfvo type="percent" val="33"/>
        <cfvo type="percent" val="67"/>
      </iconSet>
    </cfRule>
  </conditionalFormatting>
  <conditionalFormatting sqref="AN186:AN187">
    <cfRule type="iconSet" priority="129">
      <iconSet>
        <cfvo type="percent" val="0"/>
        <cfvo type="percent" val="33"/>
        <cfvo type="percent" val="67"/>
      </iconSet>
    </cfRule>
  </conditionalFormatting>
  <conditionalFormatting sqref="AP188:AP189">
    <cfRule type="iconSet" priority="128">
      <iconSet>
        <cfvo type="percent" val="0"/>
        <cfvo type="percent" val="33"/>
        <cfvo type="percent" val="67"/>
      </iconSet>
    </cfRule>
  </conditionalFormatting>
  <conditionalFormatting sqref="AP186:AP187">
    <cfRule type="iconSet" priority="127">
      <iconSet>
        <cfvo type="percent" val="0"/>
        <cfvo type="percent" val="33"/>
        <cfvo type="percent" val="67"/>
      </iconSet>
    </cfRule>
  </conditionalFormatting>
  <conditionalFormatting sqref="AP184:AP185">
    <cfRule type="iconSet" priority="126">
      <iconSet>
        <cfvo type="percent" val="0"/>
        <cfvo type="percent" val="33"/>
        <cfvo type="percent" val="67"/>
      </iconSet>
    </cfRule>
  </conditionalFormatting>
  <conditionalFormatting sqref="AQ190">
    <cfRule type="iconSet" priority="125">
      <iconSet>
        <cfvo type="percent" val="0"/>
        <cfvo type="percent" val="33"/>
        <cfvo type="percent" val="67"/>
      </iconSet>
    </cfRule>
  </conditionalFormatting>
  <conditionalFormatting sqref="AQ191">
    <cfRule type="iconSet" priority="124">
      <iconSet>
        <cfvo type="percent" val="0"/>
        <cfvo type="percent" val="33"/>
        <cfvo type="percent" val="67"/>
      </iconSet>
    </cfRule>
  </conditionalFormatting>
  <conditionalFormatting sqref="AM190">
    <cfRule type="iconSet" priority="123">
      <iconSet>
        <cfvo type="percent" val="0"/>
        <cfvo type="percent" val="33"/>
        <cfvo type="percent" val="67"/>
      </iconSet>
    </cfRule>
  </conditionalFormatting>
  <conditionalFormatting sqref="T16:W16 W17:W19 T19:W19 T16:T18">
    <cfRule type="containsText" dxfId="56" priority="112" operator="containsText" text="As">
      <formula>NOT(ISERROR(SEARCH("As",T16)))</formula>
    </cfRule>
  </conditionalFormatting>
  <conditionalFormatting sqref="AQ195">
    <cfRule type="containsText" dxfId="55" priority="110" operator="containsText" text="Ajna">
      <formula>NOT(ISERROR(SEARCH("Ajna",AQ195)))</formula>
    </cfRule>
  </conditionalFormatting>
  <conditionalFormatting sqref="AI197:AI204 AI206:AN206 AK203:AK204 AI205:AL205 AN205">
    <cfRule type="iconSet" priority="100">
      <iconSet>
        <cfvo type="percent" val="0"/>
        <cfvo type="percent" val="33"/>
        <cfvo type="percent" val="67"/>
      </iconSet>
    </cfRule>
  </conditionalFormatting>
  <conditionalFormatting sqref="AL203:AL204">
    <cfRule type="iconSet" priority="99">
      <iconSet>
        <cfvo type="percent" val="0"/>
        <cfvo type="percent" val="33"/>
        <cfvo type="percent" val="67"/>
      </iconSet>
    </cfRule>
  </conditionalFormatting>
  <conditionalFormatting sqref="AN203:AN204">
    <cfRule type="iconSet" priority="98">
      <iconSet>
        <cfvo type="percent" val="0"/>
        <cfvo type="percent" val="33"/>
        <cfvo type="percent" val="67"/>
      </iconSet>
    </cfRule>
  </conditionalFormatting>
  <conditionalFormatting sqref="AN201:AN202">
    <cfRule type="iconSet" priority="97">
      <iconSet>
        <cfvo type="percent" val="0"/>
        <cfvo type="percent" val="33"/>
        <cfvo type="percent" val="67"/>
      </iconSet>
    </cfRule>
  </conditionalFormatting>
  <conditionalFormatting sqref="AP203:AP204">
    <cfRule type="iconSet" priority="96">
      <iconSet>
        <cfvo type="percent" val="0"/>
        <cfvo type="percent" val="33"/>
        <cfvo type="percent" val="67"/>
      </iconSet>
    </cfRule>
  </conditionalFormatting>
  <conditionalFormatting sqref="AP201:AP202">
    <cfRule type="iconSet" priority="95">
      <iconSet>
        <cfvo type="percent" val="0"/>
        <cfvo type="percent" val="33"/>
        <cfvo type="percent" val="67"/>
      </iconSet>
    </cfRule>
  </conditionalFormatting>
  <conditionalFormatting sqref="AP199:AP200">
    <cfRule type="iconSet" priority="94">
      <iconSet>
        <cfvo type="percent" val="0"/>
        <cfvo type="percent" val="33"/>
        <cfvo type="percent" val="67"/>
      </iconSet>
    </cfRule>
  </conditionalFormatting>
  <conditionalFormatting sqref="AQ205">
    <cfRule type="iconSet" priority="93">
      <iconSet>
        <cfvo type="percent" val="0"/>
        <cfvo type="percent" val="33"/>
        <cfvo type="percent" val="67"/>
      </iconSet>
    </cfRule>
  </conditionalFormatting>
  <conditionalFormatting sqref="AQ206">
    <cfRule type="iconSet" priority="92">
      <iconSet>
        <cfvo type="percent" val="0"/>
        <cfvo type="percent" val="33"/>
        <cfvo type="percent" val="67"/>
      </iconSet>
    </cfRule>
  </conditionalFormatting>
  <conditionalFormatting sqref="AM205">
    <cfRule type="iconSet" priority="91">
      <iconSet>
        <cfvo type="percent" val="0"/>
        <cfvo type="percent" val="33"/>
        <cfvo type="percent" val="67"/>
      </iconSet>
    </cfRule>
  </conditionalFormatting>
  <conditionalFormatting sqref="A113 C115">
    <cfRule type="containsText" dxfId="54" priority="80" operator="containsText" text="Asdt">
      <formula>NOT(ISERROR(SEARCH("Asdt",A113)))</formula>
    </cfRule>
  </conditionalFormatting>
  <conditionalFormatting sqref="B26">
    <cfRule type="containsText" dxfId="53" priority="71" operator="containsText" text="Ra">
      <formula>NOT(ISERROR(SEARCH("Ra",B26)))</formula>
    </cfRule>
    <cfRule type="cellIs" dxfId="52" priority="72" operator="equal">
      <formula>"Sa"</formula>
    </cfRule>
    <cfRule type="containsText" dxfId="51" priority="73" operator="containsText" text="Ve">
      <formula>NOT(ISERROR(SEARCH("Ve",B26)))</formula>
    </cfRule>
    <cfRule type="containsText" dxfId="50" priority="74" operator="containsText" text="Me">
      <formula>NOT(ISERROR(SEARCH("Me",B26)))</formula>
    </cfRule>
    <cfRule type="containsText" dxfId="49" priority="75" operator="containsText" text="Ma">
      <formula>NOT(ISERROR(SEARCH("Ma",B26)))</formula>
    </cfRule>
    <cfRule type="containsText" dxfId="48" priority="76" operator="containsText" text="Mo">
      <formula>NOT(ISERROR(SEARCH("Mo",B26)))</formula>
    </cfRule>
    <cfRule type="containsText" dxfId="47" priority="77" operator="containsText" text="Su">
      <formula>NOT(ISERROR(SEARCH("Su",B26)))</formula>
    </cfRule>
    <cfRule type="containsText" dxfId="46" priority="78" operator="containsText" text="Ke">
      <formula>NOT(ISERROR(SEARCH("Ke",B26)))</formula>
    </cfRule>
    <cfRule type="containsText" dxfId="45" priority="79" operator="containsText" text="Ju">
      <formula>NOT(ISERROR(SEARCH("Ju",B26)))</formula>
    </cfRule>
  </conditionalFormatting>
  <conditionalFormatting sqref="G22:G29">
    <cfRule type="cellIs" dxfId="44" priority="43" operator="equal">
      <formula>0</formula>
    </cfRule>
  </conditionalFormatting>
  <conditionalFormatting sqref="H33:H36">
    <cfRule type="containsText" dxfId="43" priority="41" operator="containsText" text="Impure">
      <formula>NOT(ISERROR(SEARCH("Impure",H33)))</formula>
    </cfRule>
    <cfRule type="containsText" dxfId="42" priority="42" operator="containsText" text="Benefic">
      <formula>NOT(ISERROR(SEARCH("Benefic",H33)))</formula>
    </cfRule>
  </conditionalFormatting>
  <conditionalFormatting sqref="C43:C44 C58:C71 C46:C56">
    <cfRule type="containsText" dxfId="41" priority="39" operator="containsText" text="Yes">
      <formula>NOT(ISERROR(SEARCH("Yes",C43)))</formula>
    </cfRule>
  </conditionalFormatting>
  <conditionalFormatting sqref="M16:P16 P17:P19 M19:O19 M17:M18">
    <cfRule type="containsText" dxfId="40" priority="37" operator="containsText" text="As">
      <formula>NOT(ISERROR(SEARCH("As",M16)))</formula>
    </cfRule>
  </conditionalFormatting>
  <conditionalFormatting sqref="AO4">
    <cfRule type="containsText" dxfId="39" priority="36" operator="containsText" text="Ajna">
      <formula>NOT(ISERROR(SEARCH("Ajna",AO4)))</formula>
    </cfRule>
  </conditionalFormatting>
  <conditionalFormatting sqref="C57">
    <cfRule type="containsText" dxfId="38" priority="35" operator="containsText" text="Yes">
      <formula>NOT(ISERROR(SEARCH("Yes",C57)))</formula>
    </cfRule>
  </conditionalFormatting>
  <conditionalFormatting sqref="C87">
    <cfRule type="containsText" dxfId="37" priority="22" operator="containsText" text="Ra">
      <formula>NOT(ISERROR(SEARCH("Ra",C87)))</formula>
    </cfRule>
    <cfRule type="cellIs" dxfId="36" priority="23" operator="equal">
      <formula>"Sa"</formula>
    </cfRule>
    <cfRule type="containsText" dxfId="35" priority="24" operator="containsText" text="Ve">
      <formula>NOT(ISERROR(SEARCH("Ve",C87)))</formula>
    </cfRule>
    <cfRule type="containsText" dxfId="34" priority="25" operator="containsText" text="Me">
      <formula>NOT(ISERROR(SEARCH("Me",C87)))</formula>
    </cfRule>
    <cfRule type="containsText" dxfId="33" priority="26" operator="containsText" text="Ma">
      <formula>NOT(ISERROR(SEARCH("Ma",C87)))</formula>
    </cfRule>
    <cfRule type="containsText" dxfId="32" priority="27" operator="containsText" text="Mo">
      <formula>NOT(ISERROR(SEARCH("Mo",C87)))</formula>
    </cfRule>
    <cfRule type="containsText" dxfId="31" priority="28" operator="containsText" text="Su">
      <formula>NOT(ISERROR(SEARCH("Su",C87)))</formula>
    </cfRule>
    <cfRule type="containsText" dxfId="30" priority="29" operator="containsText" text="Ke">
      <formula>NOT(ISERROR(SEARCH("Ke",C87)))</formula>
    </cfRule>
    <cfRule type="containsText" dxfId="29" priority="30" operator="containsText" text="Ju">
      <formula>NOT(ISERROR(SEARCH("Ju",C87)))</formula>
    </cfRule>
  </conditionalFormatting>
  <conditionalFormatting sqref="C89">
    <cfRule type="containsText" dxfId="28" priority="13" operator="containsText" text="Ra">
      <formula>NOT(ISERROR(SEARCH("Ra",C89)))</formula>
    </cfRule>
    <cfRule type="cellIs" dxfId="27" priority="14" operator="equal">
      <formula>"Sa"</formula>
    </cfRule>
    <cfRule type="containsText" dxfId="26" priority="15" operator="containsText" text="Ve">
      <formula>NOT(ISERROR(SEARCH("Ve",C89)))</formula>
    </cfRule>
    <cfRule type="containsText" dxfId="25" priority="16" operator="containsText" text="Me">
      <formula>NOT(ISERROR(SEARCH("Me",C89)))</formula>
    </cfRule>
    <cfRule type="containsText" dxfId="24" priority="17" operator="containsText" text="Ma">
      <formula>NOT(ISERROR(SEARCH("Ma",C89)))</formula>
    </cfRule>
    <cfRule type="containsText" dxfId="23" priority="18" operator="containsText" text="Mo">
      <formula>NOT(ISERROR(SEARCH("Mo",C89)))</formula>
    </cfRule>
    <cfRule type="containsText" dxfId="22" priority="19" operator="containsText" text="Su">
      <formula>NOT(ISERROR(SEARCH("Su",C89)))</formula>
    </cfRule>
    <cfRule type="containsText" dxfId="21" priority="20" operator="containsText" text="Ke">
      <formula>NOT(ISERROR(SEARCH("Ke",C89)))</formula>
    </cfRule>
    <cfRule type="containsText" dxfId="20" priority="21" operator="containsText" text="Ju">
      <formula>NOT(ISERROR(SEARCH("Ju",C89)))</formula>
    </cfRule>
  </conditionalFormatting>
  <conditionalFormatting sqref="N57">
    <cfRule type="containsText" dxfId="19" priority="11" operator="containsText" text="Yes">
      <formula>NOT(ISERROR(SEARCH("Yes",N57)))</formula>
    </cfRule>
  </conditionalFormatting>
  <conditionalFormatting sqref="N58:N71 N46:N56">
    <cfRule type="containsText" dxfId="18" priority="12" operator="containsText" text="Yes">
      <formula>NOT(ISERROR(SEARCH("Yes",N46)))</formula>
    </cfRule>
  </conditionalFormatting>
  <conditionalFormatting sqref="F94:J94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3:AF36">
    <cfRule type="containsText" dxfId="17" priority="8" operator="containsText" text="Impure">
      <formula>NOT(ISERROR(SEARCH("Impure",AF33)))</formula>
    </cfRule>
    <cfRule type="containsText" dxfId="16" priority="9" operator="containsText" text="Benefic">
      <formula>NOT(ISERROR(SEARCH("Benefic",AF33)))</formula>
    </cfRule>
  </conditionalFormatting>
  <conditionalFormatting sqref="G13:G14">
    <cfRule type="containsText" dxfId="15" priority="7" operator="containsText" text="Benefic">
      <formula>NOT(ISERROR(SEARCH("Benefic",G13)))</formula>
    </cfRule>
  </conditionalFormatting>
  <conditionalFormatting sqref="N43:N44">
    <cfRule type="containsText" dxfId="14" priority="5" operator="containsText" text="Yes">
      <formula>NOT(ISERROR(SEARCH("Yes",N43)))</formula>
    </cfRule>
  </conditionalFormatting>
  <conditionalFormatting sqref="A42:S71">
    <cfRule type="expression" dxfId="13" priority="3">
      <formula>ROW(A42)=SelRow</formula>
    </cfRule>
    <cfRule type="expression" dxfId="12" priority="4">
      <formula>COLUMN(A42)=SelCol</formula>
    </cfRule>
  </conditionalFormatting>
  <conditionalFormatting sqref="C45">
    <cfRule type="containsText" dxfId="11" priority="2" operator="containsText" text="Yes">
      <formula>NOT(ISERROR(SEARCH("Yes",C45)))</formula>
    </cfRule>
  </conditionalFormatting>
  <conditionalFormatting sqref="C42">
    <cfRule type="containsText" dxfId="10" priority="1" operator="containsText" text="Yes">
      <formula>NOT(ISERROR(SEARCH("Yes",C42)))</formula>
    </cfRule>
  </conditionalFormatting>
  <dataValidations count="4">
    <dataValidation type="list" allowBlank="1" showInputMessage="1" showErrorMessage="1" sqref="E22:E29">
      <formula1>$F$3:$F$11</formula1>
    </dataValidation>
    <dataValidation type="list" allowBlank="1" showInputMessage="1" showErrorMessage="1" sqref="I59:I71 I42:I49 R42:R71">
      <formula1>$B$33:$B$36</formula1>
    </dataValidation>
    <dataValidation type="list" allowBlank="1" showInputMessage="1" showErrorMessage="1" sqref="H46:H71 Q46:Q71 C42 C45:C71 N42:N71">
      <formula1>$C$38</formula1>
    </dataValidation>
    <dataValidation type="custom" allowBlank="1" showInputMessage="1" showErrorMessage="1" sqref="C43:C44">
      <formula1>""""""</formula1>
    </dataValidation>
  </dataValidations>
  <hyperlinks>
    <hyperlink ref="B16" r:id="rId1"/>
  </hyperlinks>
  <pageMargins left="0.7" right="0.7" top="0.75" bottom="0.75" header="0.3" footer="0.3"/>
  <pageSetup scale="44" orientation="landscape" r:id="rId2"/>
  <colBreaks count="1" manualBreakCount="1">
    <brk id="4" max="1048575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5" r:id="rId5" name="Button 57">
              <controlPr defaultSize="0" print="0" autoFill="0" autoPict="0" macro="[0]!Initialize">
                <anchor moveWithCells="1" sizeWithCells="1">
                  <from>
                    <xdr:col>0</xdr:col>
                    <xdr:colOff>800100</xdr:colOff>
                    <xdr:row>32</xdr:row>
                    <xdr:rowOff>161925</xdr:rowOff>
                  </from>
                  <to>
                    <xdr:col>1</xdr:col>
                    <xdr:colOff>1771650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Ayanamsa!$A$5:$A$11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K13"/>
  <sheetViews>
    <sheetView workbookViewId="0">
      <selection activeCell="K4" sqref="K4:K13"/>
    </sheetView>
  </sheetViews>
  <sheetFormatPr defaultRowHeight="15" x14ac:dyDescent="0.25"/>
  <cols>
    <col min="4" max="6" width="9.5703125" customWidth="1"/>
    <col min="7" max="7" width="10.28515625" customWidth="1"/>
    <col min="8" max="8" width="10.85546875" customWidth="1"/>
    <col min="9" max="9" width="10.28515625" hidden="1" customWidth="1"/>
    <col min="10" max="11" width="10.28515625" customWidth="1"/>
  </cols>
  <sheetData>
    <row r="2" spans="1:11" x14ac:dyDescent="0.25">
      <c r="B2" t="s">
        <v>225</v>
      </c>
    </row>
    <row r="3" spans="1:11" ht="90" x14ac:dyDescent="0.25">
      <c r="A3" s="324" t="s">
        <v>245</v>
      </c>
      <c r="D3" s="10" t="s">
        <v>226</v>
      </c>
      <c r="E3" s="323" t="s">
        <v>229</v>
      </c>
      <c r="F3" s="323" t="s">
        <v>230</v>
      </c>
      <c r="G3" s="323" t="s">
        <v>231</v>
      </c>
      <c r="H3" s="323" t="s">
        <v>228</v>
      </c>
      <c r="I3" s="323" t="s">
        <v>227</v>
      </c>
      <c r="J3" s="323" t="s">
        <v>223</v>
      </c>
      <c r="K3" s="323" t="s">
        <v>224</v>
      </c>
    </row>
    <row r="4" spans="1:11" x14ac:dyDescent="0.25">
      <c r="D4" s="10" t="s">
        <v>0</v>
      </c>
      <c r="E4" s="324">
        <v>7</v>
      </c>
      <c r="F4" s="324">
        <v>10</v>
      </c>
      <c r="G4" s="10" t="str">
        <f>CHOOSE(IF(MOD(E4,4)=0,4,MOD(E4,4)),"F","E","A","W")</f>
        <v>A</v>
      </c>
      <c r="H4" s="322">
        <f>IF(G4="F",1,IF(G4="E",10,IF(G4="A",7,IF(G4="W",4,""))))</f>
        <v>7</v>
      </c>
      <c r="I4" s="322">
        <f>IF(F4&gt;H4,F4,F4+12)</f>
        <v>10</v>
      </c>
      <c r="J4" s="322">
        <f>MOD(I4-H4+1,12)</f>
        <v>4</v>
      </c>
      <c r="K4" s="322">
        <f>MOD((E4-1)*30+(J4-0.5)*(30/9),360)</f>
        <v>191.66666666666666</v>
      </c>
    </row>
    <row r="5" spans="1:11" x14ac:dyDescent="0.25">
      <c r="D5" s="10" t="s">
        <v>1</v>
      </c>
      <c r="E5" s="324">
        <v>12</v>
      </c>
      <c r="F5" s="324">
        <v>8</v>
      </c>
      <c r="G5" s="10" t="str">
        <f t="shared" ref="G5:G13" si="0">CHOOSE(IF(MOD(E5,4)=0,4,MOD(E5,4)),"F","E","A","W")</f>
        <v>W</v>
      </c>
      <c r="H5" s="322">
        <f t="shared" ref="H5:H13" si="1">IF(G5="F",1,IF(G5="E",10,IF(G5="A",7,IF(G5="W",4,""))))</f>
        <v>4</v>
      </c>
      <c r="I5" s="322">
        <f t="shared" ref="I5:I13" si="2">IF(F5&gt;H5,F5,F5+12)</f>
        <v>8</v>
      </c>
      <c r="J5" s="322">
        <f t="shared" ref="J5:J13" si="3">MOD(I5-H5+1,12)</f>
        <v>5</v>
      </c>
      <c r="K5" s="322">
        <f t="shared" ref="K5:K13" si="4">MOD((E5-1)*30+(J5-0.5)*(30/9),360)</f>
        <v>345</v>
      </c>
    </row>
    <row r="6" spans="1:11" x14ac:dyDescent="0.25">
      <c r="D6" s="10" t="s">
        <v>2</v>
      </c>
      <c r="E6" s="324">
        <v>6</v>
      </c>
      <c r="F6" s="324">
        <v>3</v>
      </c>
      <c r="G6" s="10" t="str">
        <f t="shared" si="0"/>
        <v>E</v>
      </c>
      <c r="H6" s="322">
        <f t="shared" si="1"/>
        <v>10</v>
      </c>
      <c r="I6" s="322">
        <f t="shared" si="2"/>
        <v>15</v>
      </c>
      <c r="J6" s="322">
        <f t="shared" si="3"/>
        <v>6</v>
      </c>
      <c r="K6" s="322">
        <f t="shared" si="4"/>
        <v>168.33333333333334</v>
      </c>
    </row>
    <row r="7" spans="1:11" x14ac:dyDescent="0.25">
      <c r="D7" s="10" t="s">
        <v>3</v>
      </c>
      <c r="E7" s="324">
        <v>6</v>
      </c>
      <c r="F7" s="324">
        <v>4</v>
      </c>
      <c r="G7" s="10" t="str">
        <f t="shared" si="0"/>
        <v>E</v>
      </c>
      <c r="H7" s="322">
        <f t="shared" si="1"/>
        <v>10</v>
      </c>
      <c r="I7" s="322">
        <f t="shared" si="2"/>
        <v>16</v>
      </c>
      <c r="J7" s="322">
        <f t="shared" si="3"/>
        <v>7</v>
      </c>
      <c r="K7" s="322">
        <f t="shared" si="4"/>
        <v>171.66666666666666</v>
      </c>
    </row>
    <row r="8" spans="1:11" x14ac:dyDescent="0.25">
      <c r="D8" s="10" t="s">
        <v>4</v>
      </c>
      <c r="E8" s="324">
        <v>5</v>
      </c>
      <c r="F8" s="324">
        <v>8</v>
      </c>
      <c r="G8" s="10" t="str">
        <f t="shared" si="0"/>
        <v>F</v>
      </c>
      <c r="H8" s="322">
        <f t="shared" si="1"/>
        <v>1</v>
      </c>
      <c r="I8" s="322">
        <f t="shared" si="2"/>
        <v>8</v>
      </c>
      <c r="J8" s="322">
        <f t="shared" si="3"/>
        <v>8</v>
      </c>
      <c r="K8" s="322">
        <f t="shared" si="4"/>
        <v>145</v>
      </c>
    </row>
    <row r="9" spans="1:11" x14ac:dyDescent="0.25">
      <c r="D9" s="10" t="s">
        <v>5</v>
      </c>
      <c r="E9" s="324">
        <v>7</v>
      </c>
      <c r="F9" s="324">
        <v>3</v>
      </c>
      <c r="G9" s="10" t="str">
        <f t="shared" si="0"/>
        <v>A</v>
      </c>
      <c r="H9" s="322">
        <f t="shared" si="1"/>
        <v>7</v>
      </c>
      <c r="I9" s="322">
        <f t="shared" si="2"/>
        <v>15</v>
      </c>
      <c r="J9" s="322">
        <f t="shared" si="3"/>
        <v>9</v>
      </c>
      <c r="K9" s="322">
        <f t="shared" si="4"/>
        <v>208.33333333333334</v>
      </c>
    </row>
    <row r="10" spans="1:11" x14ac:dyDescent="0.25">
      <c r="D10" s="10" t="s">
        <v>6</v>
      </c>
      <c r="E10" s="324">
        <v>7</v>
      </c>
      <c r="F10" s="324">
        <v>3</v>
      </c>
      <c r="G10" s="10" t="str">
        <f t="shared" si="0"/>
        <v>A</v>
      </c>
      <c r="H10" s="322">
        <f t="shared" si="1"/>
        <v>7</v>
      </c>
      <c r="I10" s="322">
        <f t="shared" si="2"/>
        <v>15</v>
      </c>
      <c r="J10" s="322">
        <f t="shared" si="3"/>
        <v>9</v>
      </c>
      <c r="K10" s="322">
        <f t="shared" si="4"/>
        <v>208.33333333333334</v>
      </c>
    </row>
    <row r="11" spans="1:11" x14ac:dyDescent="0.25">
      <c r="D11" s="10" t="s">
        <v>7</v>
      </c>
      <c r="E11" s="324">
        <v>8</v>
      </c>
      <c r="F11" s="324">
        <v>11</v>
      </c>
      <c r="G11" s="10" t="str">
        <f t="shared" si="0"/>
        <v>W</v>
      </c>
      <c r="H11" s="322">
        <f t="shared" si="1"/>
        <v>4</v>
      </c>
      <c r="I11" s="322">
        <f t="shared" si="2"/>
        <v>11</v>
      </c>
      <c r="J11" s="322">
        <f t="shared" si="3"/>
        <v>8</v>
      </c>
      <c r="K11" s="322">
        <f t="shared" si="4"/>
        <v>235</v>
      </c>
    </row>
    <row r="12" spans="1:11" x14ac:dyDescent="0.25">
      <c r="D12" s="10" t="s">
        <v>8</v>
      </c>
      <c r="E12" s="324">
        <v>2</v>
      </c>
      <c r="F12" s="324">
        <v>5</v>
      </c>
      <c r="G12" s="10" t="str">
        <f t="shared" si="0"/>
        <v>E</v>
      </c>
      <c r="H12" s="322">
        <f t="shared" si="1"/>
        <v>10</v>
      </c>
      <c r="I12" s="322">
        <f t="shared" si="2"/>
        <v>17</v>
      </c>
      <c r="J12" s="322">
        <f t="shared" si="3"/>
        <v>8</v>
      </c>
      <c r="K12" s="322">
        <f t="shared" si="4"/>
        <v>55</v>
      </c>
    </row>
    <row r="13" spans="1:11" x14ac:dyDescent="0.25">
      <c r="D13" s="10" t="s">
        <v>61</v>
      </c>
      <c r="E13" s="324">
        <v>3</v>
      </c>
      <c r="F13" s="324">
        <v>2</v>
      </c>
      <c r="G13" s="10" t="str">
        <f t="shared" si="0"/>
        <v>A</v>
      </c>
      <c r="H13" s="322">
        <f t="shared" si="1"/>
        <v>7</v>
      </c>
      <c r="I13" s="322">
        <f t="shared" si="2"/>
        <v>14</v>
      </c>
      <c r="J13" s="322">
        <f t="shared" si="3"/>
        <v>8</v>
      </c>
      <c r="K13" s="322">
        <f t="shared" si="4"/>
        <v>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8"/>
  <sheetViews>
    <sheetView workbookViewId="0">
      <selection activeCell="O26" sqref="O26"/>
    </sheetView>
  </sheetViews>
  <sheetFormatPr defaultRowHeight="15" x14ac:dyDescent="0.25"/>
  <sheetData>
    <row r="1" spans="1:14" ht="15.75" thickBot="1" x14ac:dyDescent="0.3">
      <c r="A1" t="s">
        <v>94</v>
      </c>
    </row>
    <row r="2" spans="1:14" ht="15.75" thickBot="1" x14ac:dyDescent="0.3">
      <c r="B2" s="237" t="s">
        <v>121</v>
      </c>
      <c r="C2" s="435" t="s">
        <v>120</v>
      </c>
      <c r="D2" s="436"/>
      <c r="E2" s="436"/>
      <c r="F2" s="436"/>
      <c r="G2" s="436"/>
      <c r="H2" s="436"/>
      <c r="I2" s="436"/>
      <c r="J2" s="436"/>
      <c r="K2" s="436"/>
      <c r="L2" s="436"/>
      <c r="M2" s="436"/>
      <c r="N2" s="437"/>
    </row>
    <row r="3" spans="1:14" ht="15.75" thickBot="1" x14ac:dyDescent="0.3">
      <c r="B3" s="238"/>
      <c r="C3" s="112">
        <v>1</v>
      </c>
      <c r="D3" s="112">
        <f>C3+1</f>
        <v>2</v>
      </c>
      <c r="E3" s="112">
        <f t="shared" ref="E3:N3" si="0">D3+1</f>
        <v>3</v>
      </c>
      <c r="F3" s="112">
        <f t="shared" si="0"/>
        <v>4</v>
      </c>
      <c r="G3" s="112">
        <f t="shared" si="0"/>
        <v>5</v>
      </c>
      <c r="H3" s="112">
        <f t="shared" si="0"/>
        <v>6</v>
      </c>
      <c r="I3" s="112">
        <f t="shared" si="0"/>
        <v>7</v>
      </c>
      <c r="J3" s="112">
        <f>I3+1</f>
        <v>8</v>
      </c>
      <c r="K3" s="112">
        <f t="shared" si="0"/>
        <v>9</v>
      </c>
      <c r="L3" s="112">
        <f t="shared" si="0"/>
        <v>10</v>
      </c>
      <c r="M3" s="112">
        <f>L3+1</f>
        <v>11</v>
      </c>
      <c r="N3" s="129">
        <f t="shared" si="0"/>
        <v>12</v>
      </c>
    </row>
    <row r="4" spans="1:14" x14ac:dyDescent="0.25">
      <c r="B4" s="238">
        <v>1</v>
      </c>
      <c r="C4" s="125" t="s">
        <v>86</v>
      </c>
      <c r="D4" s="125" t="s">
        <v>88</v>
      </c>
      <c r="E4" s="125" t="s">
        <v>86</v>
      </c>
      <c r="F4" s="125" t="s">
        <v>92</v>
      </c>
      <c r="G4" s="125" t="s">
        <v>87</v>
      </c>
      <c r="H4" s="125" t="s">
        <v>87</v>
      </c>
      <c r="I4" s="125" t="s">
        <v>88</v>
      </c>
      <c r="J4" s="125" t="s">
        <v>89</v>
      </c>
      <c r="K4" s="125" t="s">
        <v>89</v>
      </c>
      <c r="L4" s="126"/>
      <c r="M4" s="126"/>
      <c r="N4" s="127"/>
    </row>
    <row r="5" spans="1:14" x14ac:dyDescent="0.25">
      <c r="B5" s="238">
        <f>B4+1</f>
        <v>2</v>
      </c>
      <c r="C5" s="112" t="s">
        <v>87</v>
      </c>
      <c r="D5" s="112" t="s">
        <v>87</v>
      </c>
      <c r="E5" s="112" t="s">
        <v>89</v>
      </c>
      <c r="F5" s="112" t="s">
        <v>88</v>
      </c>
      <c r="G5" s="112" t="s">
        <v>86</v>
      </c>
      <c r="H5" s="112" t="s">
        <v>86</v>
      </c>
      <c r="I5" s="128"/>
      <c r="J5" s="128"/>
      <c r="K5" s="128"/>
      <c r="L5" s="112" t="s">
        <v>90</v>
      </c>
      <c r="M5" s="112" t="s">
        <v>86</v>
      </c>
      <c r="N5" s="129" t="s">
        <v>91</v>
      </c>
    </row>
    <row r="6" spans="1:14" x14ac:dyDescent="0.25">
      <c r="B6" s="238">
        <f t="shared" ref="B6:B15" si="1">B5+1</f>
        <v>3</v>
      </c>
      <c r="C6" s="112" t="s">
        <v>87</v>
      </c>
      <c r="D6" s="112" t="s">
        <v>88</v>
      </c>
      <c r="E6" s="112" t="s">
        <v>90</v>
      </c>
      <c r="F6" s="128"/>
      <c r="G6" s="128"/>
      <c r="H6" s="128"/>
      <c r="I6" s="112" t="s">
        <v>92</v>
      </c>
      <c r="J6" s="112" t="s">
        <v>86</v>
      </c>
      <c r="K6" s="112" t="s">
        <v>89</v>
      </c>
      <c r="L6" s="112" t="s">
        <v>89</v>
      </c>
      <c r="M6" s="112" t="s">
        <v>91</v>
      </c>
      <c r="N6" s="129" t="s">
        <v>93</v>
      </c>
    </row>
    <row r="7" spans="1:14" x14ac:dyDescent="0.25">
      <c r="B7" s="238">
        <f t="shared" si="1"/>
        <v>4</v>
      </c>
      <c r="C7" s="112" t="s">
        <v>79</v>
      </c>
      <c r="D7" s="128"/>
      <c r="E7" s="128"/>
      <c r="F7" s="112" t="s">
        <v>86</v>
      </c>
      <c r="G7" s="112" t="s">
        <v>89</v>
      </c>
      <c r="H7" s="112" t="s">
        <v>86</v>
      </c>
      <c r="I7" s="112" t="s">
        <v>89</v>
      </c>
      <c r="J7" s="112" t="s">
        <v>90</v>
      </c>
      <c r="K7" s="112" t="s">
        <v>88</v>
      </c>
      <c r="L7" s="112" t="s">
        <v>86</v>
      </c>
      <c r="M7" s="112" t="s">
        <v>91</v>
      </c>
      <c r="N7" s="129" t="s">
        <v>93</v>
      </c>
    </row>
    <row r="8" spans="1:14" x14ac:dyDescent="0.25">
      <c r="B8" s="238">
        <f t="shared" si="1"/>
        <v>5</v>
      </c>
      <c r="C8" s="112" t="s">
        <v>88</v>
      </c>
      <c r="D8" s="112" t="s">
        <v>91</v>
      </c>
      <c r="E8" s="112" t="s">
        <v>91</v>
      </c>
      <c r="F8" s="112" t="s">
        <v>93</v>
      </c>
      <c r="G8" s="112" t="s">
        <v>93</v>
      </c>
      <c r="H8" s="112" t="s">
        <v>88</v>
      </c>
      <c r="I8" s="112" t="s">
        <v>88</v>
      </c>
      <c r="J8" s="112" t="s">
        <v>88</v>
      </c>
      <c r="K8" s="112" t="s">
        <v>92</v>
      </c>
      <c r="L8" s="128"/>
      <c r="M8" s="128"/>
      <c r="N8" s="130"/>
    </row>
    <row r="9" spans="1:14" x14ac:dyDescent="0.25">
      <c r="B9" s="238">
        <f t="shared" si="1"/>
        <v>6</v>
      </c>
      <c r="C9" s="112" t="s">
        <v>86</v>
      </c>
      <c r="D9" s="112" t="s">
        <v>86</v>
      </c>
      <c r="E9" s="112" t="s">
        <v>87</v>
      </c>
      <c r="F9" s="112" t="s">
        <v>86</v>
      </c>
      <c r="G9" s="112" t="s">
        <v>89</v>
      </c>
      <c r="H9" s="112" t="s">
        <v>89</v>
      </c>
      <c r="I9" s="128"/>
      <c r="J9" s="128"/>
      <c r="K9" s="128"/>
      <c r="L9" s="112" t="s">
        <v>86</v>
      </c>
      <c r="M9" s="112" t="s">
        <v>87</v>
      </c>
      <c r="N9" s="129" t="s">
        <v>87</v>
      </c>
    </row>
    <row r="10" spans="1:14" x14ac:dyDescent="0.25">
      <c r="B10" s="238">
        <f t="shared" si="1"/>
        <v>7</v>
      </c>
      <c r="C10" s="112" t="s">
        <v>88</v>
      </c>
      <c r="D10" s="112" t="s">
        <v>88</v>
      </c>
      <c r="E10" s="112" t="s">
        <v>87</v>
      </c>
      <c r="F10" s="128"/>
      <c r="G10" s="128"/>
      <c r="H10" s="128"/>
      <c r="I10" s="112" t="s">
        <v>87</v>
      </c>
      <c r="J10" s="112" t="s">
        <v>86</v>
      </c>
      <c r="K10" s="112" t="s">
        <v>86</v>
      </c>
      <c r="L10" s="112" t="s">
        <v>93</v>
      </c>
      <c r="M10" s="112" t="s">
        <v>93</v>
      </c>
      <c r="N10" s="129" t="s">
        <v>87</v>
      </c>
    </row>
    <row r="11" spans="1:14" x14ac:dyDescent="0.25">
      <c r="B11" s="238">
        <f t="shared" si="1"/>
        <v>8</v>
      </c>
      <c r="C11" s="112" t="s">
        <v>79</v>
      </c>
      <c r="D11" s="128"/>
      <c r="E11" s="128"/>
      <c r="F11" s="112" t="s">
        <v>87</v>
      </c>
      <c r="G11" s="112" t="s">
        <v>93</v>
      </c>
      <c r="H11" s="112" t="s">
        <v>87</v>
      </c>
      <c r="I11" s="112" t="s">
        <v>92</v>
      </c>
      <c r="J11" s="112" t="s">
        <v>89</v>
      </c>
      <c r="K11" s="112" t="s">
        <v>87</v>
      </c>
      <c r="L11" s="112" t="s">
        <v>87</v>
      </c>
      <c r="M11" s="112" t="s">
        <v>93</v>
      </c>
      <c r="N11" s="129" t="s">
        <v>93</v>
      </c>
    </row>
    <row r="12" spans="1:14" x14ac:dyDescent="0.25">
      <c r="B12" s="238">
        <f t="shared" si="1"/>
        <v>9</v>
      </c>
      <c r="C12" s="112" t="s">
        <v>89</v>
      </c>
      <c r="D12" s="112" t="s">
        <v>87</v>
      </c>
      <c r="E12" s="112" t="s">
        <v>91</v>
      </c>
      <c r="F12" s="112" t="s">
        <v>91</v>
      </c>
      <c r="G12" s="112" t="s">
        <v>87</v>
      </c>
      <c r="H12" s="112" t="s">
        <v>89</v>
      </c>
      <c r="I12" s="112" t="s">
        <v>88</v>
      </c>
      <c r="J12" s="112" t="s">
        <v>89</v>
      </c>
      <c r="K12" s="112" t="s">
        <v>88</v>
      </c>
      <c r="L12" s="128"/>
      <c r="M12" s="128"/>
      <c r="N12" s="130"/>
    </row>
    <row r="13" spans="1:14" x14ac:dyDescent="0.25">
      <c r="B13" s="238">
        <f t="shared" si="1"/>
        <v>10</v>
      </c>
      <c r="C13" s="112" t="s">
        <v>87</v>
      </c>
      <c r="D13" s="112" t="s">
        <v>87</v>
      </c>
      <c r="E13" s="112" t="s">
        <v>89</v>
      </c>
      <c r="F13" s="112" t="s">
        <v>89</v>
      </c>
      <c r="G13" s="112" t="s">
        <v>92</v>
      </c>
      <c r="H13" s="112" t="s">
        <v>88</v>
      </c>
      <c r="I13" s="128"/>
      <c r="J13" s="128"/>
      <c r="K13" s="128"/>
      <c r="L13" s="112" t="s">
        <v>88</v>
      </c>
      <c r="M13" s="112" t="s">
        <v>88</v>
      </c>
      <c r="N13" s="129" t="s">
        <v>89</v>
      </c>
    </row>
    <row r="14" spans="1:14" x14ac:dyDescent="0.25">
      <c r="B14" s="238">
        <f t="shared" si="1"/>
        <v>11</v>
      </c>
      <c r="C14" s="112" t="s">
        <v>90</v>
      </c>
      <c r="D14" s="112" t="s">
        <v>86</v>
      </c>
      <c r="E14" s="112" t="s">
        <v>90</v>
      </c>
      <c r="F14" s="128"/>
      <c r="G14" s="128"/>
      <c r="H14" s="128"/>
      <c r="I14" s="112" t="s">
        <v>86</v>
      </c>
      <c r="J14" s="112" t="s">
        <v>92</v>
      </c>
      <c r="K14" s="112" t="s">
        <v>92</v>
      </c>
      <c r="L14" s="112" t="s">
        <v>86</v>
      </c>
      <c r="M14" s="112" t="s">
        <v>86</v>
      </c>
      <c r="N14" s="129" t="s">
        <v>91</v>
      </c>
    </row>
    <row r="15" spans="1:14" ht="15.75" thickBot="1" x14ac:dyDescent="0.3">
      <c r="B15" s="239">
        <f t="shared" si="1"/>
        <v>12</v>
      </c>
      <c r="C15" s="132" t="s">
        <v>79</v>
      </c>
      <c r="D15" s="131"/>
      <c r="E15" s="131"/>
      <c r="F15" s="132" t="s">
        <v>86</v>
      </c>
      <c r="G15" s="132" t="s">
        <v>89</v>
      </c>
      <c r="H15" s="132" t="s">
        <v>86</v>
      </c>
      <c r="I15" s="132" t="s">
        <v>86</v>
      </c>
      <c r="J15" s="132" t="s">
        <v>89</v>
      </c>
      <c r="K15" s="132" t="s">
        <v>93</v>
      </c>
      <c r="L15" s="132" t="s">
        <v>88</v>
      </c>
      <c r="M15" s="132" t="s">
        <v>88</v>
      </c>
      <c r="N15" s="133" t="s">
        <v>89</v>
      </c>
    </row>
    <row r="19" spans="1:16" x14ac:dyDescent="0.25">
      <c r="M19" t="s">
        <v>239</v>
      </c>
    </row>
    <row r="20" spans="1:16" x14ac:dyDescent="0.25">
      <c r="A20" t="s">
        <v>95</v>
      </c>
      <c r="C20" s="10" t="s">
        <v>87</v>
      </c>
      <c r="D20" s="10" t="s">
        <v>90</v>
      </c>
      <c r="E20" s="10" t="s">
        <v>89</v>
      </c>
      <c r="F20" s="10" t="s">
        <v>93</v>
      </c>
      <c r="G20" s="10" t="s">
        <v>88</v>
      </c>
      <c r="H20" s="10" t="s">
        <v>86</v>
      </c>
      <c r="I20" s="10" t="s">
        <v>91</v>
      </c>
      <c r="J20" s="10" t="s">
        <v>92</v>
      </c>
      <c r="L20" s="10"/>
      <c r="M20" t="s">
        <v>202</v>
      </c>
      <c r="O20" s="434" t="s">
        <v>206</v>
      </c>
      <c r="P20" s="434"/>
    </row>
    <row r="21" spans="1:16" x14ac:dyDescent="0.25">
      <c r="B21">
        <v>1</v>
      </c>
      <c r="C21">
        <v>4</v>
      </c>
      <c r="D21">
        <v>5</v>
      </c>
      <c r="E21">
        <v>4</v>
      </c>
      <c r="F21">
        <v>5</v>
      </c>
      <c r="G21">
        <v>2</v>
      </c>
      <c r="H21">
        <v>1</v>
      </c>
      <c r="I21">
        <v>3</v>
      </c>
      <c r="J21">
        <v>1</v>
      </c>
      <c r="L21" s="24" t="s">
        <v>205</v>
      </c>
      <c r="M21" s="24" t="s">
        <v>207</v>
      </c>
      <c r="N21" s="24" t="s">
        <v>208</v>
      </c>
      <c r="O21" s="10" t="s">
        <v>203</v>
      </c>
      <c r="P21" s="10" t="s">
        <v>204</v>
      </c>
    </row>
    <row r="22" spans="1:16" x14ac:dyDescent="0.25">
      <c r="B22">
        <f>B21+1</f>
        <v>2</v>
      </c>
      <c r="C22">
        <v>5</v>
      </c>
      <c r="D22">
        <v>4</v>
      </c>
      <c r="E22">
        <v>3</v>
      </c>
      <c r="F22">
        <v>5</v>
      </c>
      <c r="G22">
        <v>3</v>
      </c>
      <c r="H22">
        <v>1</v>
      </c>
      <c r="I22">
        <v>4</v>
      </c>
      <c r="J22">
        <v>2</v>
      </c>
      <c r="L22" s="24"/>
      <c r="M22" s="24">
        <v>1800</v>
      </c>
      <c r="N22" s="24">
        <v>1900</v>
      </c>
      <c r="O22">
        <v>18</v>
      </c>
      <c r="P22">
        <v>13</v>
      </c>
    </row>
    <row r="23" spans="1:16" x14ac:dyDescent="0.25">
      <c r="B23">
        <f t="shared" ref="B23:B38" si="2">B22+1</f>
        <v>3</v>
      </c>
      <c r="C23">
        <v>5</v>
      </c>
      <c r="D23">
        <v>3</v>
      </c>
      <c r="E23">
        <v>2</v>
      </c>
      <c r="F23">
        <v>4</v>
      </c>
      <c r="G23">
        <v>4</v>
      </c>
      <c r="H23">
        <v>2</v>
      </c>
      <c r="I23">
        <v>5</v>
      </c>
      <c r="J23">
        <v>3</v>
      </c>
      <c r="L23" s="24"/>
      <c r="M23" s="24">
        <f>N22</f>
        <v>1900</v>
      </c>
      <c r="N23" s="24">
        <v>1930</v>
      </c>
      <c r="O23" s="10">
        <v>23</v>
      </c>
      <c r="P23" s="10">
        <v>21</v>
      </c>
    </row>
    <row r="24" spans="1:16" x14ac:dyDescent="0.25">
      <c r="B24">
        <f t="shared" si="2"/>
        <v>4</v>
      </c>
      <c r="C24">
        <v>4</v>
      </c>
      <c r="D24">
        <v>2</v>
      </c>
      <c r="E24">
        <v>1</v>
      </c>
      <c r="F24">
        <v>3</v>
      </c>
      <c r="G24">
        <v>5</v>
      </c>
      <c r="H24">
        <v>3</v>
      </c>
      <c r="I24">
        <v>5</v>
      </c>
      <c r="J24">
        <v>4</v>
      </c>
      <c r="L24" s="24"/>
      <c r="M24" s="24">
        <f t="shared" ref="M24:M26" si="3">N23</f>
        <v>1930</v>
      </c>
      <c r="N24" s="24">
        <v>1970</v>
      </c>
      <c r="O24" s="10">
        <v>24</v>
      </c>
      <c r="P24" s="10">
        <v>23</v>
      </c>
    </row>
    <row r="25" spans="1:16" x14ac:dyDescent="0.25">
      <c r="B25">
        <f t="shared" si="2"/>
        <v>5</v>
      </c>
      <c r="C25">
        <v>3</v>
      </c>
      <c r="D25">
        <v>1</v>
      </c>
      <c r="E25">
        <v>1</v>
      </c>
      <c r="F25">
        <v>2</v>
      </c>
      <c r="G25">
        <v>5</v>
      </c>
      <c r="H25">
        <v>4</v>
      </c>
      <c r="I25">
        <v>4</v>
      </c>
      <c r="J25">
        <v>5</v>
      </c>
      <c r="M25" s="24">
        <f t="shared" si="3"/>
        <v>1970</v>
      </c>
      <c r="N25" s="24">
        <v>1990</v>
      </c>
      <c r="O25" s="10">
        <v>25</v>
      </c>
      <c r="P25" s="10">
        <v>24</v>
      </c>
    </row>
    <row r="26" spans="1:16" x14ac:dyDescent="0.25">
      <c r="B26">
        <f t="shared" si="2"/>
        <v>6</v>
      </c>
      <c r="C26">
        <v>2</v>
      </c>
      <c r="D26">
        <v>1</v>
      </c>
      <c r="E26">
        <v>2</v>
      </c>
      <c r="F26">
        <v>1</v>
      </c>
      <c r="G26">
        <v>4</v>
      </c>
      <c r="H26">
        <v>5</v>
      </c>
      <c r="I26">
        <v>3</v>
      </c>
      <c r="J26">
        <v>5</v>
      </c>
      <c r="M26" s="24">
        <f t="shared" si="3"/>
        <v>1990</v>
      </c>
      <c r="N26" s="24">
        <v>2010</v>
      </c>
      <c r="O26" s="10">
        <v>26</v>
      </c>
      <c r="P26" s="10">
        <v>25</v>
      </c>
    </row>
    <row r="27" spans="1:16" x14ac:dyDescent="0.25">
      <c r="B27">
        <f t="shared" si="2"/>
        <v>7</v>
      </c>
      <c r="C27">
        <v>1</v>
      </c>
      <c r="D27">
        <v>2</v>
      </c>
      <c r="E27">
        <v>3</v>
      </c>
      <c r="F27">
        <v>1</v>
      </c>
      <c r="G27">
        <v>3</v>
      </c>
      <c r="H27">
        <v>5</v>
      </c>
      <c r="I27">
        <v>2</v>
      </c>
      <c r="J27">
        <v>4</v>
      </c>
    </row>
    <row r="28" spans="1:16" x14ac:dyDescent="0.25">
      <c r="B28">
        <f t="shared" si="2"/>
        <v>8</v>
      </c>
      <c r="C28">
        <v>1</v>
      </c>
      <c r="D28">
        <v>3</v>
      </c>
      <c r="E28">
        <v>4</v>
      </c>
      <c r="F28">
        <v>2</v>
      </c>
      <c r="G28">
        <v>2</v>
      </c>
      <c r="H28">
        <v>4</v>
      </c>
      <c r="I28">
        <v>1</v>
      </c>
      <c r="J28">
        <v>3</v>
      </c>
    </row>
    <row r="29" spans="1:16" x14ac:dyDescent="0.25">
      <c r="B29">
        <f t="shared" si="2"/>
        <v>9</v>
      </c>
      <c r="C29">
        <v>2</v>
      </c>
      <c r="D29">
        <v>4</v>
      </c>
      <c r="E29">
        <v>5</v>
      </c>
      <c r="F29">
        <v>3</v>
      </c>
      <c r="G29">
        <v>1</v>
      </c>
      <c r="H29">
        <v>3</v>
      </c>
      <c r="I29">
        <v>1</v>
      </c>
      <c r="J29">
        <v>2</v>
      </c>
    </row>
    <row r="30" spans="1:16" x14ac:dyDescent="0.25">
      <c r="B30">
        <f t="shared" si="2"/>
        <v>10</v>
      </c>
      <c r="C30">
        <v>3</v>
      </c>
      <c r="D30">
        <v>5</v>
      </c>
      <c r="E30">
        <v>5</v>
      </c>
      <c r="F30">
        <v>4</v>
      </c>
      <c r="G30">
        <v>1</v>
      </c>
      <c r="H30">
        <v>2</v>
      </c>
      <c r="I30">
        <v>2</v>
      </c>
      <c r="J30">
        <v>1</v>
      </c>
    </row>
    <row r="31" spans="1:16" x14ac:dyDescent="0.25">
      <c r="B31">
        <f t="shared" si="2"/>
        <v>11</v>
      </c>
      <c r="C31">
        <v>3</v>
      </c>
      <c r="D31">
        <v>5</v>
      </c>
      <c r="E31">
        <v>5</v>
      </c>
      <c r="F31">
        <v>4</v>
      </c>
      <c r="G31">
        <v>1</v>
      </c>
      <c r="H31">
        <v>2</v>
      </c>
      <c r="I31">
        <v>2</v>
      </c>
      <c r="J31">
        <v>1</v>
      </c>
    </row>
    <row r="32" spans="1:16" x14ac:dyDescent="0.25">
      <c r="B32">
        <f t="shared" si="2"/>
        <v>12</v>
      </c>
      <c r="C32">
        <v>2</v>
      </c>
      <c r="D32">
        <v>4</v>
      </c>
      <c r="E32">
        <v>5</v>
      </c>
      <c r="F32">
        <v>3</v>
      </c>
      <c r="G32">
        <v>1</v>
      </c>
      <c r="H32">
        <v>3</v>
      </c>
      <c r="I32">
        <v>1</v>
      </c>
      <c r="J32">
        <v>2</v>
      </c>
    </row>
    <row r="33" spans="2:10" x14ac:dyDescent="0.25">
      <c r="B33">
        <f t="shared" si="2"/>
        <v>13</v>
      </c>
      <c r="C33">
        <v>1</v>
      </c>
      <c r="D33">
        <v>3</v>
      </c>
      <c r="E33">
        <v>4</v>
      </c>
      <c r="F33">
        <v>2</v>
      </c>
      <c r="G33">
        <v>2</v>
      </c>
      <c r="H33">
        <v>4</v>
      </c>
      <c r="I33">
        <v>1</v>
      </c>
      <c r="J33">
        <v>3</v>
      </c>
    </row>
    <row r="34" spans="2:10" x14ac:dyDescent="0.25">
      <c r="B34">
        <f t="shared" si="2"/>
        <v>14</v>
      </c>
      <c r="C34">
        <v>1</v>
      </c>
      <c r="D34">
        <v>2</v>
      </c>
      <c r="E34">
        <v>3</v>
      </c>
      <c r="F34">
        <v>1</v>
      </c>
      <c r="G34">
        <v>3</v>
      </c>
      <c r="H34">
        <v>5</v>
      </c>
      <c r="I34">
        <v>2</v>
      </c>
      <c r="J34">
        <v>4</v>
      </c>
    </row>
    <row r="35" spans="2:10" x14ac:dyDescent="0.25">
      <c r="B35">
        <f t="shared" si="2"/>
        <v>15</v>
      </c>
      <c r="C35">
        <v>2</v>
      </c>
      <c r="D35">
        <v>1</v>
      </c>
      <c r="E35">
        <v>2</v>
      </c>
      <c r="F35">
        <v>1</v>
      </c>
      <c r="G35">
        <v>4</v>
      </c>
      <c r="H35">
        <v>5</v>
      </c>
      <c r="I35">
        <v>3</v>
      </c>
      <c r="J35">
        <v>5</v>
      </c>
    </row>
    <row r="36" spans="2:10" x14ac:dyDescent="0.25">
      <c r="B36">
        <f t="shared" si="2"/>
        <v>16</v>
      </c>
      <c r="C36">
        <v>3</v>
      </c>
      <c r="D36">
        <v>1</v>
      </c>
      <c r="E36">
        <v>1</v>
      </c>
      <c r="F36">
        <v>2</v>
      </c>
      <c r="G36">
        <v>5</v>
      </c>
      <c r="H36">
        <v>4</v>
      </c>
      <c r="I36">
        <v>4</v>
      </c>
      <c r="J36">
        <v>5</v>
      </c>
    </row>
    <row r="37" spans="2:10" x14ac:dyDescent="0.25">
      <c r="B37">
        <f t="shared" si="2"/>
        <v>17</v>
      </c>
      <c r="C37">
        <v>4</v>
      </c>
      <c r="D37">
        <v>2</v>
      </c>
      <c r="E37">
        <v>1</v>
      </c>
      <c r="F37">
        <v>3</v>
      </c>
      <c r="G37">
        <v>5</v>
      </c>
      <c r="H37">
        <v>3</v>
      </c>
      <c r="I37">
        <v>5</v>
      </c>
      <c r="J37">
        <v>4</v>
      </c>
    </row>
    <row r="38" spans="2:10" x14ac:dyDescent="0.25">
      <c r="B38">
        <f t="shared" si="2"/>
        <v>18</v>
      </c>
      <c r="C38">
        <v>5</v>
      </c>
      <c r="D38">
        <v>3</v>
      </c>
      <c r="E38">
        <v>1</v>
      </c>
      <c r="F38">
        <v>4</v>
      </c>
      <c r="G38">
        <v>4</v>
      </c>
      <c r="H38">
        <v>2</v>
      </c>
      <c r="I38">
        <v>5</v>
      </c>
      <c r="J38">
        <v>3</v>
      </c>
    </row>
  </sheetData>
  <mergeCells count="2">
    <mergeCell ref="O20:P20"/>
    <mergeCell ref="C2:N2"/>
  </mergeCells>
  <conditionalFormatting sqref="C21:J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P21 O23:P26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zoomScale="40" zoomScaleNormal="40" workbookViewId="0">
      <selection activeCell="G11" sqref="G11"/>
    </sheetView>
  </sheetViews>
  <sheetFormatPr defaultColWidth="22.85546875" defaultRowHeight="120" customHeight="1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autoFill="0" autoPict="0" macro="[0]!ResizeGridToMatchShapes">
                <anchor moveWithCells="1" sizeWithCells="1">
                  <from>
                    <xdr:col>9</xdr:col>
                    <xdr:colOff>1447800</xdr:colOff>
                    <xdr:row>0</xdr:row>
                    <xdr:rowOff>95250</xdr:rowOff>
                  </from>
                  <to>
                    <xdr:col>13</xdr:col>
                    <xdr:colOff>1447800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piccenter">
                <anchor moveWithCells="1" sizeWithCells="1">
                  <from>
                    <xdr:col>8</xdr:col>
                    <xdr:colOff>762000</xdr:colOff>
                    <xdr:row>4</xdr:row>
                    <xdr:rowOff>0</xdr:rowOff>
                  </from>
                  <to>
                    <xdr:col>10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79</vt:i4>
      </vt:variant>
    </vt:vector>
  </HeadingPairs>
  <TitlesOfParts>
    <vt:vector size="84" baseType="lpstr">
      <vt:lpstr>Ayanamsa</vt:lpstr>
      <vt:lpstr>Sheet1</vt:lpstr>
      <vt:lpstr>DegGenerator</vt:lpstr>
      <vt:lpstr>Tables</vt:lpstr>
      <vt:lpstr>Square</vt:lpstr>
      <vt:lpstr>Alphabets_Table</vt:lpstr>
      <vt:lpstr>Aq</vt:lpstr>
      <vt:lpstr>Ar</vt:lpstr>
      <vt:lpstr>Asc</vt:lpstr>
      <vt:lpstr>Base</vt:lpstr>
      <vt:lpstr>BaseNumTable</vt:lpstr>
      <vt:lpstr>BaseX</vt:lpstr>
      <vt:lpstr>birthdate</vt:lpstr>
      <vt:lpstr>Cn</vt:lpstr>
      <vt:lpstr>Cp</vt:lpstr>
      <vt:lpstr>Crossed</vt:lpstr>
      <vt:lpstr>D1_RasiNum</vt:lpstr>
      <vt:lpstr>D10_5_8</vt:lpstr>
      <vt:lpstr>D10_6_9</vt:lpstr>
      <vt:lpstr>D10_9_12</vt:lpstr>
      <vt:lpstr>D10_Pv</vt:lpstr>
      <vt:lpstr>D10_Trd</vt:lpstr>
      <vt:lpstr>D9_RasiNum</vt:lpstr>
      <vt:lpstr>D9_Trd</vt:lpstr>
      <vt:lpstr>DChart</vt:lpstr>
      <vt:lpstr>Deg</vt:lpstr>
      <vt:lpstr>Delay_in_D1</vt:lpstr>
      <vt:lpstr>Delay_in_DX</vt:lpstr>
      <vt:lpstr>DevarajAyan</vt:lpstr>
      <vt:lpstr>Dy</vt:lpstr>
      <vt:lpstr>Dyfr</vt:lpstr>
      <vt:lpstr>EF</vt:lpstr>
      <vt:lpstr>EFX</vt:lpstr>
      <vt:lpstr>Ge</vt:lpstr>
      <vt:lpstr>Gender</vt:lpstr>
      <vt:lpstr>GMT</vt:lpstr>
      <vt:lpstr>Graham</vt:lpstr>
      <vt:lpstr>Input_BH</vt:lpstr>
      <vt:lpstr>Input_BH9</vt:lpstr>
      <vt:lpstr>Input_EF</vt:lpstr>
      <vt:lpstr>Input_EF9</vt:lpstr>
      <vt:lpstr>Input_RF</vt:lpstr>
      <vt:lpstr>Input_RF9</vt:lpstr>
      <vt:lpstr>Input_SB</vt:lpstr>
      <vt:lpstr>Input_SB9</vt:lpstr>
      <vt:lpstr>Lati</vt:lpstr>
      <vt:lpstr>Latitude</vt:lpstr>
      <vt:lpstr>Le</vt:lpstr>
      <vt:lpstr>Li</vt:lpstr>
      <vt:lpstr>Longi</vt:lpstr>
      <vt:lpstr>Longitude</vt:lpstr>
      <vt:lpstr>m</vt:lpstr>
      <vt:lpstr>Me9BenMal</vt:lpstr>
      <vt:lpstr>MeBenMal</vt:lpstr>
      <vt:lpstr>Mestatus</vt:lpstr>
      <vt:lpstr>MF</vt:lpstr>
      <vt:lpstr>Min</vt:lpstr>
      <vt:lpstr>Mn</vt:lpstr>
      <vt:lpstr>moStatus</vt:lpstr>
      <vt:lpstr>MoStatus9</vt:lpstr>
      <vt:lpstr>nava</vt:lpstr>
      <vt:lpstr>nava_int</vt:lpstr>
      <vt:lpstr>Pi</vt:lpstr>
      <vt:lpstr>Precession_Rate</vt:lpstr>
      <vt:lpstr>RF</vt:lpstr>
      <vt:lpstr>RFX</vt:lpstr>
      <vt:lpstr>row</vt:lpstr>
      <vt:lpstr>Rows_of_Sa_aspects</vt:lpstr>
      <vt:lpstr>Sc</vt:lpstr>
      <vt:lpstr>Sec</vt:lpstr>
      <vt:lpstr>Seconds</vt:lpstr>
      <vt:lpstr>SelCol</vt:lpstr>
      <vt:lpstr>SelRow</vt:lpstr>
      <vt:lpstr>Sg</vt:lpstr>
      <vt:lpstr>SignLords</vt:lpstr>
      <vt:lpstr>Signs</vt:lpstr>
      <vt:lpstr>Start_Year</vt:lpstr>
      <vt:lpstr>Step</vt:lpstr>
      <vt:lpstr>Ta</vt:lpstr>
      <vt:lpstr>TOB</vt:lpstr>
      <vt:lpstr>TZ</vt:lpstr>
      <vt:lpstr>Vi</vt:lpstr>
      <vt:lpstr>Weekdays</vt:lpstr>
      <vt:lpstr>Yr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2022-11-20T17:05:25Z</cp:lastPrinted>
  <dcterms:created xsi:type="dcterms:W3CDTF">2022-10-01T06:03:19Z</dcterms:created>
  <dcterms:modified xsi:type="dcterms:W3CDTF">2023-04-21T08:59:19Z</dcterms:modified>
</cp:coreProperties>
</file>